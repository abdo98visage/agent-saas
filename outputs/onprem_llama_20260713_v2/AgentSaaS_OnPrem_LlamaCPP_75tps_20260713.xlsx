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6413ac4dd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c24f43f4029141f1"/>
    <x:sheet xmlns:r="http://schemas.openxmlformats.org/officeDocument/2006/relationships" name="السيناريوهات" sheetId="2" r:id="Rc707173a01854e54"/>
    <x:sheet xmlns:r="http://schemas.openxmlformats.org/officeDocument/2006/relationships" name="مقارنة النماذج" sheetId="3" r:id="R15d820a329af4732"/>
    <x:sheet xmlns:r="http://schemas.openxmlformats.org/officeDocument/2006/relationships" name="البنية التحتية" sheetId="4" r:id="R8dd6f33b705549b3"/>
    <x:sheet xmlns:r="http://schemas.openxmlformats.org/officeDocument/2006/relationships" name="الافتراضات" sheetId="5" r:id="R1637383a95b249c1"/>
    <x:sheet xmlns:r="http://schemas.openxmlformats.org/officeDocument/2006/relationships" name="التكلفة" sheetId="6" r:id="R52e8a914acd24d8b"/>
    <x:sheet xmlns:r="http://schemas.openxmlformats.org/officeDocument/2006/relationships" name="اختبار القبول" sheetId="7" r:id="R2124a84bf6454269"/>
    <x:sheet xmlns:r="http://schemas.openxmlformats.org/officeDocument/2006/relationships" name="المصادر" sheetId="8" r:id="R00d92e1232614914"/>
    <x:sheet xmlns:r="http://schemas.openxmlformats.org/officeDocument/2006/relationships" name="الفحوصات" sheetId="9" r:id="R7fef34bf59c2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"/>
    <x:numFmt numFmtId="202" formatCode="0.00"/>
    <x:numFmt numFmtId="203" formatCode="0.0"/>
  </x:numFmts>
  <x:fonts count="12">
    <x:font>
      <x:sz val="11"/>
      <x:name val="Carlito"/>
    </x:font>
    <x:font>
      <x:b/>
      <x:sz val="18"/>
      <x:color rgb="FFFFFFFF"/>
      <x:name val="Aptos"/>
    </x:font>
    <x:font>
      <x:i/>
      <x:sz val="10"/>
      <x:color rgb="FF5B677A"/>
      <x:name val="Aptos"/>
    </x:font>
    <x:font>
      <x:b/>
      <x:sz val="12"/>
      <x:color rgb="FFFFFFFF"/>
      <x:name val="Aptos"/>
    </x:font>
    <x:font>
      <x:b/>
      <x:sz val="10"/>
      <x:color rgb="FFFFFFFF"/>
      <x:name val="Aptos"/>
    </x:font>
    <x:font>
      <x:sz val="9"/>
      <x:color rgb="FF172033"/>
      <x:name val="Aptos"/>
    </x:font>
    <x:font>
      <x:b/>
      <x:sz val="10"/>
      <x:color rgb="FF2563EB"/>
      <x:name val="Aptos"/>
    </x:font>
    <x:font>
      <x:sz val="9"/>
      <x:color rgb="FF2563EB"/>
      <x:name val="Aptos"/>
    </x:font>
    <x:font>
      <x:b/>
      <x:sz val="11"/>
      <x:color rgb="FF172033"/>
      <x:name val="Aptos"/>
    </x:font>
    <x:font>
      <x:b/>
      <x:sz val="13"/>
      <x:color rgb="FF0B1F3A"/>
      <x:name val="Aptos"/>
    </x:font>
    <x:font>
      <x:b/>
      <x:sz val="9"/>
      <x:color rgb="FF0B1F3A"/>
      <x:name val="Aptos"/>
    </x:font>
    <x:font>
      <x:b/>
      <x:sz val="11"/>
      <x:color rgb="FFFFFFFF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EF3F7"/>
      </x:patternFill>
    </x:fill>
    <x:fill>
      <x:patternFill patternType="solid">
        <x:fgColor rgb="FF0E7490"/>
      </x:patternFill>
    </x:fill>
    <x:fill>
      <x:patternFill patternType="solid">
        <x:fgColor rgb="FF16395F"/>
      </x:patternFill>
    </x:fill>
    <x:fill>
      <x:patternFill patternType="solid">
        <x:fgColor rgb="FFEAF2FF"/>
      </x:patternFill>
    </x:fill>
    <x:fill>
      <x:patternFill patternType="solid">
        <x:fgColor rgb="FFF5F8FB"/>
      </x:patternFill>
    </x:fill>
    <x:fill>
      <x:patternFill patternType="solid">
        <x:fgColor rgb="FFFFF4E5"/>
      </x:patternFill>
    </x:fill>
    <x:fill>
      <x:patternFill patternType="solid">
        <x:fgColor rgb="FFE6F4F7"/>
      </x:patternFill>
    </x:fill>
    <x:fill>
      <x:patternFill patternType="solid">
        <x:fgColor rgb="FFFFFFFF"/>
      </x:patternFill>
    </x:fill>
    <x:fill>
      <x:patternFill patternType="solid">
        <x:fgColor rgb="FFEAF6ED"/>
      </x:patternFill>
    </x:fill>
  </x:fills>
  <x:borders count="26">
    <x:border/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  <x:border>
      <x:left style="medium">
        <x:color rgb="FFD97706"/>
      </x:left>
      <x:top style="medium">
        <x:color rgb="FFD97706"/>
      </x:top>
    </x:border>
    <x:border>
      <x:top style="medium">
        <x:color rgb="FFD97706"/>
      </x:top>
    </x:border>
    <x:border>
      <x:right style="medium">
        <x:color rgb="FFD97706"/>
      </x:right>
      <x:top style="medium">
        <x:color rgb="FFD97706"/>
      </x:top>
    </x:border>
    <x:border>
      <x:left style="medium">
        <x:color rgb="FFD97706"/>
      </x:left>
    </x:border>
    <x:border>
      <x:right style="medium">
        <x:color rgb="FFD97706"/>
      </x:right>
    </x:border>
    <x:border>
      <x:left style="medium">
        <x:color rgb="FFD97706"/>
      </x:left>
      <x:bottom style="medium">
        <x:color rgb="FFD97706"/>
      </x:bottom>
    </x:border>
    <x:border>
      <x:bottom style="medium">
        <x:color rgb="FFD97706"/>
      </x:bottom>
    </x:border>
    <x:border>
      <x:right style="medium">
        <x:color rgb="FFD97706"/>
      </x:right>
      <x:bottom style="medium">
        <x:color rgb="FFD97706"/>
      </x:bottom>
    </x:border>
    <x:border>
      <x:left style="medium">
        <x:color rgb="FFD8E1EA"/>
      </x:left>
      <x:top style="medium">
        <x:color rgb="FFD8E1EA"/>
      </x:top>
    </x:border>
    <x:border>
      <x:top style="medium">
        <x:color rgb="FFD8E1EA"/>
      </x:top>
    </x:border>
    <x:border>
      <x:right style="medium">
        <x:color rgb="FFD8E1EA"/>
      </x:right>
      <x:top style="medium">
        <x:color rgb="FFD8E1EA"/>
      </x:top>
    </x:border>
    <x:border>
      <x:left style="medium">
        <x:color rgb="FFD8E1EA"/>
      </x:left>
    </x:border>
    <x:border>
      <x:right style="medium">
        <x:color rgb="FFD8E1EA"/>
      </x:right>
    </x:border>
    <x:border>
      <x:left style="medium">
        <x:color rgb="FFD8E1EA"/>
      </x:left>
      <x:bottom style="medium">
        <x:color rgb="FFD8E1EA"/>
      </x:bottom>
    </x:border>
    <x:border>
      <x:bottom style="medium">
        <x:color rgb="FFD8E1EA"/>
      </x:bottom>
    </x:border>
    <x:border>
      <x:right style="medium">
        <x:color rgb="FFD8E1EA"/>
      </x:right>
      <x:bottom style="medium">
        <x:color rgb="FFD8E1EA"/>
      </x:bottom>
    </x:border>
    <x:border>
      <x:left style="medium">
        <x:color rgb="FF0E7490"/>
      </x:left>
      <x:top style="medium">
        <x:color rgb="FF0E7490"/>
      </x:top>
    </x:border>
    <x:border>
      <x:top style="medium">
        <x:color rgb="FF0E7490"/>
      </x:top>
    </x:border>
    <x:border>
      <x:right style="medium">
        <x:color rgb="FF0E7490"/>
      </x:right>
      <x:top style="medium">
        <x:color rgb="FF0E7490"/>
      </x:top>
    </x:border>
    <x:border>
      <x:left style="medium">
        <x:color rgb="FF0E7490"/>
      </x:left>
    </x:border>
    <x:border>
      <x:right style="medium">
        <x:color rgb="FF0E7490"/>
      </x:right>
    </x:border>
    <x:border>
      <x:left style="medium">
        <x:color rgb="FF0E7490"/>
      </x:left>
      <x:bottom style="medium">
        <x:color rgb="FF0E7490"/>
      </x:bottom>
    </x:border>
    <x:border>
      <x:bottom style="medium">
        <x:color rgb="FF0E7490"/>
      </x:bottom>
    </x:border>
    <x:border>
      <x:right style="medium">
        <x:color rgb="FF0E7490"/>
      </x:right>
      <x:bottom style="medium">
        <x:color rgb="FF0E7490"/>
      </x:bottom>
    </x:border>
  </x:borders>
  <x:cellStyleXfs count="1">
    <x:xf numFmtId="0" fontId="0" fillId="0" borderId="0"/>
  </x:cellStyleXfs>
  <x:cellXfs count="2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right" wrapText="1"/>
    </x:xf>
    <x:xf numFmtId="0" fontId="5" fillId="0" borderId="1" xfId="0" applyNumberFormat="1" applyFont="1" applyFill="1" applyBorder="1" applyAlignment="1">
      <x:alignment horizontal="right" vertical="center" wrapText="1"/>
    </x:xf>
    <x:xf numFmtId="0" fontId="5" fillId="6" borderId="1" xfId="0" applyNumberFormat="1" applyFont="1" applyFill="1" applyBorder="1" applyAlignment="1">
      <x:alignment horizontal="right" vertical="center" wrapText="1"/>
    </x:xf>
    <x:xf numFmtId="0" fontId="6" fillId="6" borderId="1" xfId="0" applyNumberFormat="1" applyFont="1" applyFill="1" applyBorder="1" applyAlignment="1">
      <x:alignment horizontal="right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200" fontId="6" fillId="6" borderId="1" xfId="0" applyNumberFormat="1" applyFont="1" applyFill="1" applyBorder="1" applyAlignment="1">
      <x:alignment horizontal="center" vertical="center" wrapText="1"/>
    </x:xf>
    <x:xf numFmtId="201" fontId="6" fillId="6" borderId="1" xfId="0" applyNumberFormat="1" applyFont="1" applyFill="1" applyBorder="1" applyAlignment="1">
      <x:alignment horizontal="center" vertical="center" wrapText="1"/>
    </x:xf>
    <x:xf numFmtId="202" fontId="6" fillId="6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right" vertical="center" wrapText="1"/>
    </x:xf>
    <x:xf numFmtId="200" fontId="6" fillId="7" borderId="1" xfId="0" applyNumberFormat="1" applyFont="1" applyFill="1" applyBorder="1" applyAlignment="1">
      <x:alignment horizontal="center" vertical="center" wrapText="1"/>
    </x:xf>
    <x:xf numFmtId="201" fontId="6" fillId="7" borderId="1" xfId="0" applyNumberFormat="1" applyFont="1" applyFill="1" applyBorder="1" applyAlignment="1">
      <x:alignment horizontal="center" vertical="center" wrapText="1"/>
    </x:xf>
    <x:xf numFmtId="202" fontId="6" fillId="7" borderId="1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 applyAlignment="1">
      <x:alignment horizontal="right" vertical="center" wrapText="1"/>
    </x:xf>
    <x:xf numFmtId="203" fontId="5" fillId="0" borderId="1" xfId="0" applyNumberFormat="1" applyFont="1" applyFill="1" applyBorder="1" applyAlignment="1">
      <x:alignment horizontal="right" vertical="center" wrapText="1"/>
    </x:xf>
    <x:xf numFmtId="201" fontId="5" fillId="0" borderId="1" xfId="0" applyNumberFormat="1" applyFont="1" applyFill="1" applyBorder="1" applyAlignment="1">
      <x:alignment horizontal="right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200" fontId="5" fillId="7" borderId="1" xfId="0" applyNumberFormat="1" applyFont="1" applyFill="1" applyBorder="1" applyAlignment="1">
      <x:alignment horizontal="right" vertical="center" wrapText="1"/>
    </x:xf>
    <x:xf numFmtId="203" fontId="5" fillId="7" borderId="1" xfId="0" applyNumberFormat="1" applyFont="1" applyFill="1" applyBorder="1" applyAlignment="1">
      <x:alignment horizontal="right" vertical="center" wrapText="1"/>
    </x:xf>
    <x:xf numFmtId="201" fontId="5" fillId="7" borderId="1" xfId="0" applyNumberFormat="1" applyFont="1" applyFill="1" applyBorder="1" applyAlignment="1">
      <x:alignment horizontal="right" vertical="center" wrapText="1"/>
    </x:xf>
    <x:xf numFmtId="0" fontId="5" fillId="8" borderId="1" xfId="0" applyNumberFormat="1" applyFont="1" applyFill="1" applyBorder="1" applyAlignment="1">
      <x:alignment horizontal="right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203" fontId="5" fillId="0" borderId="1" xfId="0" applyNumberFormat="1" applyFont="1" applyFill="1" applyBorder="1" applyAlignment="1">
      <x:alignment horizontal="center" vertical="center" wrapText="1"/>
    </x:xf>
    <x:xf numFmtId="203" fontId="5" fillId="7" borderId="1" xfId="0" applyNumberFormat="1" applyFont="1" applyFill="1" applyBorder="1" applyAlignment="1">
      <x:alignment horizontal="center" vertical="center" wrapText="1"/>
    </x:xf>
    <x:xf numFmtId="202" fontId="5" fillId="0" borderId="1" xfId="0" applyNumberFormat="1" applyFont="1" applyFill="1" applyBorder="1" applyAlignment="1">
      <x:alignment horizontal="center" vertical="center" wrapText="1"/>
    </x:xf>
    <x:xf numFmtId="202" fontId="5" fillId="7" borderId="1" xfId="0" applyNumberFormat="1" applyFont="1" applyFill="1" applyBorder="1" applyAlignment="1">
      <x:alignment horizontal="center" vertical="center" wrapText="1"/>
    </x:xf>
    <x:xf numFmtId="201" fontId="5" fillId="0" borderId="1" xfId="0" applyNumberFormat="1" applyFont="1" applyFill="1" applyBorder="1" applyAlignment="1">
      <x:alignment horizontal="center" vertical="center" wrapText="1"/>
    </x:xf>
    <x:xf numFmtId="201" fontId="5" fillId="7" borderId="1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horizontal="right" vertical="center" wrapText="1"/>
    </x:xf>
    <x:xf numFmtId="0" fontId="7" fillId="0" borderId="1" xfId="0" applyNumberFormat="1" applyFont="1" applyFill="1" applyBorder="1" applyAlignment="1">
      <x:alignment horizontal="right" vertical="center" wrapText="1"/>
    </x:xf>
    <x:xf numFmtId="0" fontId="7" fillId="7" borderId="1" xfId="0" applyNumberFormat="1" applyFont="1" applyFill="1" applyBorder="1" applyAlignment="1">
      <x:alignment horizontal="right" vertical="center" wrapText="1"/>
    </x:xf>
    <x:xf numFmtId="202" fontId="5" fillId="7" borderId="1" xfId="0" applyNumberFormat="1" applyFont="1" applyFill="1" applyBorder="1" applyAlignment="1">
      <x:alignment horizontal="right" vertical="center" wrapText="1"/>
    </x:xf>
    <x:xf numFmtId="202" fontId="5" fillId="0" borderId="1" xfId="0" applyNumberFormat="1" applyFont="1" applyFill="1" applyBorder="1" applyAlignment="1">
      <x:alignment horizontal="right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2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horizontal="right" wrapText="1"/>
    </x:xf>
    <x:xf numFmtId="0" fontId="8" fillId="8" borderId="3" xfId="0" applyNumberFormat="1" applyFont="1" applyFill="1" applyBorder="1" applyAlignment="1">
      <x:alignment horizontal="right" wrapText="1"/>
    </x:xf>
    <x:xf numFmtId="0" fontId="8" fillId="8" borderId="4" xfId="0" applyNumberFormat="1" applyFont="1" applyFill="1" applyBorder="1" applyAlignment="1">
      <x:alignment horizontal="right" wrapText="1"/>
    </x:xf>
    <x:xf numFmtId="0" fontId="8" fillId="8" borderId="5" xfId="0" applyNumberFormat="1" applyFont="1" applyFill="1" applyBorder="1" applyAlignment="1">
      <x:alignment horizontal="right" wrapText="1"/>
    </x:xf>
    <x:xf numFmtId="0" fontId="8" fillId="8" borderId="0" xfId="0" applyNumberFormat="1" applyFont="1" applyFill="1" applyBorder="1" applyAlignment="1">
      <x:alignment horizontal="right" wrapText="1"/>
    </x:xf>
    <x:xf numFmtId="0" fontId="8" fillId="8" borderId="6" xfId="0" applyNumberFormat="1" applyFont="1" applyFill="1" applyBorder="1" applyAlignment="1">
      <x:alignment horizontal="right" wrapText="1"/>
    </x:xf>
    <x:xf numFmtId="0" fontId="8" fillId="8" borderId="7" xfId="0" applyNumberFormat="1" applyFont="1" applyFill="1" applyBorder="1" applyAlignment="1">
      <x:alignment horizontal="right" wrapText="1"/>
    </x:xf>
    <x:xf numFmtId="0" fontId="8" fillId="8" borderId="8" xfId="0" applyNumberFormat="1" applyFont="1" applyFill="1" applyBorder="1" applyAlignment="1">
      <x:alignment horizontal="right" wrapText="1"/>
    </x:xf>
    <x:xf numFmtId="0" fontId="8" fillId="8" borderId="9" xfId="0" applyNumberFormat="1" applyFont="1" applyFill="1" applyBorder="1" applyAlignment="1">
      <x:alignment horizontal="right" wrapText="1"/>
    </x:xf>
    <x:xf numFmtId="0" fontId="8" fillId="8" borderId="2" xfId="0" applyNumberFormat="1" applyFont="1" applyFill="1" applyBorder="1" applyAlignment="1">
      <x:alignment horizontal="right" vertical="center" wrapText="1"/>
    </x:xf>
    <x:xf numFmtId="0" fontId="8" fillId="8" borderId="3" xfId="0" applyNumberFormat="1" applyFont="1" applyFill="1" applyBorder="1" applyAlignment="1">
      <x:alignment horizontal="right" vertical="center" wrapText="1"/>
    </x:xf>
    <x:xf numFmtId="0" fontId="8" fillId="8" borderId="4" xfId="0" applyNumberFormat="1" applyFont="1" applyFill="1" applyBorder="1" applyAlignment="1">
      <x:alignment horizontal="right" vertical="center" wrapText="1"/>
    </x:xf>
    <x:xf numFmtId="0" fontId="8" fillId="8" borderId="5" xfId="0" applyNumberFormat="1" applyFont="1" applyFill="1" applyBorder="1" applyAlignment="1">
      <x:alignment horizontal="right" vertical="center" wrapText="1"/>
    </x:xf>
    <x:xf numFmtId="0" fontId="8" fillId="8" borderId="0" xfId="0" applyNumberFormat="1" applyFont="1" applyFill="1" applyBorder="1" applyAlignment="1">
      <x:alignment horizontal="right" vertical="center" wrapText="1"/>
    </x:xf>
    <x:xf numFmtId="0" fontId="8" fillId="8" borderId="6" xfId="0" applyNumberFormat="1" applyFont="1" applyFill="1" applyBorder="1" applyAlignment="1">
      <x:alignment horizontal="right" vertical="center" wrapText="1"/>
    </x:xf>
    <x:xf numFmtId="0" fontId="8" fillId="8" borderId="7" xfId="0" applyNumberFormat="1" applyFont="1" applyFill="1" applyBorder="1" applyAlignment="1">
      <x:alignment horizontal="right" vertical="center" wrapText="1"/>
    </x:xf>
    <x:xf numFmtId="0" fontId="8" fillId="8" borderId="8" xfId="0" applyNumberFormat="1" applyFont="1" applyFill="1" applyBorder="1" applyAlignment="1">
      <x:alignment horizontal="right" vertical="center" wrapText="1"/>
    </x:xf>
    <x:xf numFmtId="0" fontId="8" fillId="8" borderId="9" xfId="0" applyNumberFormat="1" applyFont="1" applyFill="1" applyBorder="1" applyAlignment="1">
      <x:alignment horizontal="right" vertical="center" wrapText="1"/>
    </x:xf>
    <x:xf numFmtId="0" fontId="0" fillId="10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10" xfId="0" applyNumberFormat="1" applyFont="1" applyFill="1" applyBorder="1"/>
    <x:xf numFmtId="0" fontId="9" fillId="3" borderId="11" xfId="0" applyNumberFormat="1" applyFont="1" applyFill="1" applyBorder="1"/>
    <x:xf numFmtId="0" fontId="9" fillId="3" borderId="12" xfId="0" applyNumberFormat="1" applyFont="1" applyFill="1" applyBorder="1"/>
    <x:xf numFmtId="0" fontId="9" fillId="3" borderId="13" xfId="0" applyNumberFormat="1" applyFont="1" applyFill="1" applyBorder="1"/>
    <x:xf numFmtId="0" fontId="9" fillId="3" borderId="14" xfId="0" applyNumberFormat="1" applyFont="1" applyFill="1" applyBorder="1"/>
    <x:xf numFmtId="0" fontId="9" fillId="3" borderId="15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0" xfId="0" applyNumberFormat="1" applyFont="1" applyFill="1" applyBorder="1" applyAlignment="1">
      <x:alignment wrapText="1"/>
    </x:xf>
    <x:xf numFmtId="0" fontId="9" fillId="3" borderId="11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wrapText="1"/>
    </x:xf>
    <x:xf numFmtId="0" fontId="9" fillId="3" borderId="13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wrapText="1"/>
    </x:xf>
    <x:xf numFmtId="0" fontId="9" fillId="3" borderId="14" xfId="0" applyNumberFormat="1" applyFont="1" applyFill="1" applyBorder="1" applyAlignment="1">
      <x:alignment wrapText="1"/>
    </x:xf>
    <x:xf numFmtId="0" fontId="9" fillId="3" borderId="15" xfId="0" applyNumberFormat="1" applyFont="1" applyFill="1" applyBorder="1" applyAlignment="1">
      <x:alignment wrapText="1"/>
    </x:xf>
    <x:xf numFmtId="0" fontId="9" fillId="3" borderId="16" xfId="0" applyNumberFormat="1" applyFont="1" applyFill="1" applyBorder="1" applyAlignment="1">
      <x:alignment wrapText="1"/>
    </x:xf>
    <x:xf numFmtId="0" fontId="9" fillId="3" borderId="17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horizontal="center" wrapText="1"/>
    </x:xf>
    <x:xf numFmtId="0" fontId="9" fillId="3" borderId="11" xfId="0" applyNumberFormat="1" applyFont="1" applyFill="1" applyBorder="1" applyAlignment="1">
      <x:alignment horizontal="center" wrapText="1"/>
    </x:xf>
    <x:xf numFmtId="0" fontId="9" fillId="3" borderId="12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horizontal="center" wrapText="1"/>
    </x:xf>
    <x:xf numFmtId="0" fontId="9" fillId="3" borderId="0" xfId="0" applyNumberFormat="1" applyFont="1" applyFill="1" applyBorder="1" applyAlignment="1">
      <x:alignment horizontal="center" wrapText="1"/>
    </x:xf>
    <x:xf numFmtId="0" fontId="9" fillId="3" borderId="14" xfId="0" applyNumberFormat="1" applyFont="1" applyFill="1" applyBorder="1" applyAlignment="1">
      <x:alignment horizontal="center" wrapText="1"/>
    </x:xf>
    <x:xf numFmtId="0" fontId="9" fillId="3" borderId="15" xfId="0" applyNumberFormat="1" applyFont="1" applyFill="1" applyBorder="1" applyAlignment="1">
      <x:alignment horizontal="center" wrapText="1"/>
    </x:xf>
    <x:xf numFmtId="0" fontId="9" fillId="3" borderId="16" xfId="0" applyNumberFormat="1" applyFont="1" applyFill="1" applyBorder="1" applyAlignment="1">
      <x:alignment horizontal="center" wrapText="1"/>
    </x:xf>
    <x:xf numFmtId="0" fontId="9" fillId="3" borderId="17" xfId="0" applyNumberFormat="1" applyFont="1" applyFill="1" applyBorder="1" applyAlignment="1">
      <x:alignment horizontal="center" wrapText="1"/>
    </x:xf>
    <x:xf numFmtId="0" fontId="9" fillId="3" borderId="10" xfId="0" applyNumberFormat="1" applyFont="1" applyFill="1" applyBorder="1" applyAlignment="1">
      <x:alignment horizontal="center" vertical="center" wrapText="1"/>
    </x:xf>
    <x:xf numFmtId="0" fontId="9" fillId="3" borderId="11" xfId="0" applyNumberFormat="1" applyFont="1" applyFill="1" applyBorder="1" applyAlignment="1">
      <x:alignment horizontal="center" vertical="center" wrapText="1"/>
    </x:xf>
    <x:xf numFmtId="0" fontId="9" fillId="3" borderId="12" xfId="0" applyNumberFormat="1" applyFont="1" applyFill="1" applyBorder="1" applyAlignment="1">
      <x:alignment horizontal="center" vertical="center" wrapText="1"/>
    </x:xf>
    <x:xf numFmtId="0" fontId="9" fillId="3" borderId="13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9" fillId="3" borderId="14" xfId="0" applyNumberFormat="1" applyFont="1" applyFill="1" applyBorder="1" applyAlignment="1">
      <x:alignment horizontal="center" vertical="center" wrapText="1"/>
    </x:xf>
    <x:xf numFmtId="0" fontId="9" fillId="3" borderId="15" xfId="0" applyNumberFormat="1" applyFont="1" applyFill="1" applyBorder="1" applyAlignment="1">
      <x:alignment horizontal="center" vertical="center" wrapText="1"/>
    </x:xf>
    <x:xf numFmtId="0" fontId="9" fillId="3" borderId="16" xfId="0" applyNumberFormat="1" applyFont="1" applyFill="1" applyBorder="1" applyAlignment="1">
      <x:alignment horizontal="center" vertical="center" wrapText="1"/>
    </x:xf>
    <x:xf numFmtId="0" fontId="9" fillId="3" borderId="17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10" xfId="0" applyNumberFormat="1" applyFont="1" applyFill="1" applyBorder="1"/>
    <x:xf numFmtId="0" fontId="9" fillId="11" borderId="11" xfId="0" applyNumberFormat="1" applyFont="1" applyFill="1" applyBorder="1"/>
    <x:xf numFmtId="0" fontId="9" fillId="11" borderId="12" xfId="0" applyNumberFormat="1" applyFont="1" applyFill="1" applyBorder="1"/>
    <x:xf numFmtId="0" fontId="9" fillId="11" borderId="13" xfId="0" applyNumberFormat="1" applyFont="1" applyFill="1" applyBorder="1"/>
    <x:xf numFmtId="0" fontId="9" fillId="11" borderId="14" xfId="0" applyNumberFormat="1" applyFont="1" applyFill="1" applyBorder="1"/>
    <x:xf numFmtId="0" fontId="9" fillId="11" borderId="15" xfId="0" applyNumberFormat="1" applyFont="1" applyFill="1" applyBorder="1"/>
    <x:xf numFmtId="0" fontId="9" fillId="11" borderId="16" xfId="0" applyNumberFormat="1" applyFont="1" applyFill="1" applyBorder="1"/>
    <x:xf numFmtId="0" fontId="9" fillId="11" borderId="17" xfId="0" applyNumberFormat="1" applyFont="1" applyFill="1" applyBorder="1"/>
    <x:xf numFmtId="0" fontId="9" fillId="11" borderId="10" xfId="0" applyNumberFormat="1" applyFont="1" applyFill="1" applyBorder="1" applyAlignment="1">
      <x:alignment wrapText="1"/>
    </x:xf>
    <x:xf numFmtId="0" fontId="9" fillId="11" borderId="11" xfId="0" applyNumberFormat="1" applyFont="1" applyFill="1" applyBorder="1" applyAlignment="1">
      <x:alignment wrapText="1"/>
    </x:xf>
    <x:xf numFmtId="0" fontId="9" fillId="11" borderId="12" xfId="0" applyNumberFormat="1" applyFont="1" applyFill="1" applyBorder="1" applyAlignment="1">
      <x:alignment wrapText="1"/>
    </x:xf>
    <x:xf numFmtId="0" fontId="9" fillId="11" borderId="13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wrapText="1"/>
    </x:xf>
    <x:xf numFmtId="0" fontId="9" fillId="11" borderId="14" xfId="0" applyNumberFormat="1" applyFont="1" applyFill="1" applyBorder="1" applyAlignment="1">
      <x:alignment wrapText="1"/>
    </x:xf>
    <x:xf numFmtId="0" fontId="9" fillId="11" borderId="15" xfId="0" applyNumberFormat="1" applyFont="1" applyFill="1" applyBorder="1" applyAlignment="1">
      <x:alignment wrapText="1"/>
    </x:xf>
    <x:xf numFmtId="0" fontId="9" fillId="11" borderId="16" xfId="0" applyNumberFormat="1" applyFont="1" applyFill="1" applyBorder="1" applyAlignment="1">
      <x:alignment wrapText="1"/>
    </x:xf>
    <x:xf numFmtId="0" fontId="9" fillId="11" borderId="17" xfId="0" applyNumberFormat="1" applyFont="1" applyFill="1" applyBorder="1" applyAlignment="1">
      <x:alignment wrapText="1"/>
    </x:xf>
    <x:xf numFmtId="0" fontId="9" fillId="11" borderId="10" xfId="0" applyNumberFormat="1" applyFont="1" applyFill="1" applyBorder="1" applyAlignment="1">
      <x:alignment horizontal="center" wrapText="1"/>
    </x:xf>
    <x:xf numFmtId="0" fontId="9" fillId="11" borderId="11" xfId="0" applyNumberFormat="1" applyFont="1" applyFill="1" applyBorder="1" applyAlignment="1">
      <x:alignment horizontal="center" wrapText="1"/>
    </x:xf>
    <x:xf numFmtId="0" fontId="9" fillId="11" borderId="12" xfId="0" applyNumberFormat="1" applyFont="1" applyFill="1" applyBorder="1" applyAlignment="1">
      <x:alignment horizontal="center" wrapText="1"/>
    </x:xf>
    <x:xf numFmtId="0" fontId="9" fillId="11" borderId="13" xfId="0" applyNumberFormat="1" applyFont="1" applyFill="1" applyBorder="1" applyAlignment="1">
      <x:alignment horizontal="center" wrapText="1"/>
    </x:xf>
    <x:xf numFmtId="0" fontId="9" fillId="11" borderId="0" xfId="0" applyNumberFormat="1" applyFont="1" applyFill="1" applyBorder="1" applyAlignment="1">
      <x:alignment horizontal="center" wrapText="1"/>
    </x:xf>
    <x:xf numFmtId="0" fontId="9" fillId="11" borderId="14" xfId="0" applyNumberFormat="1" applyFont="1" applyFill="1" applyBorder="1" applyAlignment="1">
      <x:alignment horizontal="center" wrapText="1"/>
    </x:xf>
    <x:xf numFmtId="0" fontId="9" fillId="11" borderId="15" xfId="0" applyNumberFormat="1" applyFont="1" applyFill="1" applyBorder="1" applyAlignment="1">
      <x:alignment horizontal="center" wrapText="1"/>
    </x:xf>
    <x:xf numFmtId="0" fontId="9" fillId="11" borderId="16" xfId="0" applyNumberFormat="1" applyFont="1" applyFill="1" applyBorder="1" applyAlignment="1">
      <x:alignment horizontal="center" wrapText="1"/>
    </x:xf>
    <x:xf numFmtId="0" fontId="9" fillId="11" borderId="17" xfId="0" applyNumberFormat="1" applyFont="1" applyFill="1" applyBorder="1" applyAlignment="1">
      <x:alignment horizontal="center" wrapText="1"/>
    </x:xf>
    <x:xf numFmtId="0" fontId="9" fillId="11" borderId="10" xfId="0" applyNumberFormat="1" applyFont="1" applyFill="1" applyBorder="1" applyAlignment="1">
      <x:alignment horizontal="center" vertical="center" wrapText="1"/>
    </x:xf>
    <x:xf numFmtId="0" fontId="9" fillId="11" borderId="11" xfId="0" applyNumberFormat="1" applyFont="1" applyFill="1" applyBorder="1" applyAlignment="1">
      <x:alignment horizontal="center" vertical="center" wrapText="1"/>
    </x:xf>
    <x:xf numFmtId="0" fontId="9" fillId="11" borderId="12" xfId="0" applyNumberFormat="1" applyFont="1" applyFill="1" applyBorder="1" applyAlignment="1">
      <x:alignment horizontal="center" vertical="center" wrapText="1"/>
    </x:xf>
    <x:xf numFmtId="0" fontId="9" fillId="11" borderId="13" xfId="0" applyNumberFormat="1" applyFont="1" applyFill="1" applyBorder="1" applyAlignment="1">
      <x:alignment horizontal="center" vertical="center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9" fillId="11" borderId="14" xfId="0" applyNumberFormat="1" applyFont="1" applyFill="1" applyBorder="1" applyAlignment="1">
      <x:alignment horizontal="center" vertical="center" wrapText="1"/>
    </x:xf>
    <x:xf numFmtId="0" fontId="9" fillId="11" borderId="15" xfId="0" applyNumberFormat="1" applyFont="1" applyFill="1" applyBorder="1" applyAlignment="1">
      <x:alignment horizontal="center" vertical="center" wrapText="1"/>
    </x:xf>
    <x:xf numFmtId="0" fontId="9" fillId="11" borderId="16" xfId="0" applyNumberFormat="1" applyFont="1" applyFill="1" applyBorder="1" applyAlignment="1">
      <x:alignment horizontal="center" vertical="center" wrapText="1"/>
    </x:xf>
    <x:xf numFmtId="0" fontId="9" fillId="11" borderId="1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10" xfId="0" applyNumberFormat="1" applyFont="1" applyFill="1" applyBorder="1"/>
    <x:xf numFmtId="0" fontId="9" fillId="9" borderId="11" xfId="0" applyNumberFormat="1" applyFont="1" applyFill="1" applyBorder="1"/>
    <x:xf numFmtId="0" fontId="9" fillId="9" borderId="12" xfId="0" applyNumberFormat="1" applyFont="1" applyFill="1" applyBorder="1"/>
    <x:xf numFmtId="0" fontId="9" fillId="9" borderId="13" xfId="0" applyNumberFormat="1" applyFont="1" applyFill="1" applyBorder="1"/>
    <x:xf numFmtId="0" fontId="9" fillId="9" borderId="14" xfId="0" applyNumberFormat="1" applyFont="1" applyFill="1" applyBorder="1"/>
    <x:xf numFmtId="0" fontId="9" fillId="9" borderId="15" xfId="0" applyNumberFormat="1" applyFont="1" applyFill="1" applyBorder="1"/>
    <x:xf numFmtId="0" fontId="9" fillId="9" borderId="16" xfId="0" applyNumberFormat="1" applyFont="1" applyFill="1" applyBorder="1"/>
    <x:xf numFmtId="0" fontId="9" fillId="9" borderId="17" xfId="0" applyNumberFormat="1" applyFont="1" applyFill="1" applyBorder="1"/>
    <x:xf numFmtId="0" fontId="9" fillId="9" borderId="10" xfId="0" applyNumberFormat="1" applyFont="1" applyFill="1" applyBorder="1" applyAlignment="1">
      <x:alignment wrapText="1"/>
    </x:xf>
    <x:xf numFmtId="0" fontId="9" fillId="9" borderId="11" xfId="0" applyNumberFormat="1" applyFont="1" applyFill="1" applyBorder="1" applyAlignment="1">
      <x:alignment wrapText="1"/>
    </x:xf>
    <x:xf numFmtId="0" fontId="9" fillId="9" borderId="12" xfId="0" applyNumberFormat="1" applyFont="1" applyFill="1" applyBorder="1" applyAlignment="1">
      <x:alignment wrapText="1"/>
    </x:xf>
    <x:xf numFmtId="0" fontId="9" fillId="9" borderId="13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wrapText="1"/>
    </x:xf>
    <x:xf numFmtId="0" fontId="9" fillId="9" borderId="14" xfId="0" applyNumberFormat="1" applyFont="1" applyFill="1" applyBorder="1" applyAlignment="1">
      <x:alignment wrapText="1"/>
    </x:xf>
    <x:xf numFmtId="0" fontId="9" fillId="9" borderId="15" xfId="0" applyNumberFormat="1" applyFont="1" applyFill="1" applyBorder="1" applyAlignment="1">
      <x:alignment wrapText="1"/>
    </x:xf>
    <x:xf numFmtId="0" fontId="9" fillId="9" borderId="16" xfId="0" applyNumberFormat="1" applyFont="1" applyFill="1" applyBorder="1" applyAlignment="1">
      <x:alignment wrapText="1"/>
    </x:xf>
    <x:xf numFmtId="0" fontId="9" fillId="9" borderId="17" xfId="0" applyNumberFormat="1" applyFont="1" applyFill="1" applyBorder="1" applyAlignment="1">
      <x:alignment wrapText="1"/>
    </x:xf>
    <x:xf numFmtId="0" fontId="9" fillId="9" borderId="10" xfId="0" applyNumberFormat="1" applyFont="1" applyFill="1" applyBorder="1" applyAlignment="1">
      <x:alignment horizontal="center" wrapText="1"/>
    </x:xf>
    <x:xf numFmtId="0" fontId="9" fillId="9" borderId="11" xfId="0" applyNumberFormat="1" applyFont="1" applyFill="1" applyBorder="1" applyAlignment="1">
      <x:alignment horizontal="center" wrapText="1"/>
    </x:xf>
    <x:xf numFmtId="0" fontId="9" fillId="9" borderId="12" xfId="0" applyNumberFormat="1" applyFont="1" applyFill="1" applyBorder="1" applyAlignment="1">
      <x:alignment horizontal="center" wrapText="1"/>
    </x:xf>
    <x:xf numFmtId="0" fontId="9" fillId="9" borderId="13" xfId="0" applyNumberFormat="1" applyFont="1" applyFill="1" applyBorder="1" applyAlignment="1">
      <x:alignment horizontal="center" wrapText="1"/>
    </x:xf>
    <x:xf numFmtId="0" fontId="9" fillId="9" borderId="0" xfId="0" applyNumberFormat="1" applyFont="1" applyFill="1" applyBorder="1" applyAlignment="1">
      <x:alignment horizontal="center" wrapText="1"/>
    </x:xf>
    <x:xf numFmtId="0" fontId="9" fillId="9" borderId="14" xfId="0" applyNumberFormat="1" applyFont="1" applyFill="1" applyBorder="1" applyAlignment="1">
      <x:alignment horizontal="center" wrapText="1"/>
    </x:xf>
    <x:xf numFmtId="0" fontId="9" fillId="9" borderId="15" xfId="0" applyNumberFormat="1" applyFont="1" applyFill="1" applyBorder="1" applyAlignment="1">
      <x:alignment horizontal="center" wrapText="1"/>
    </x:xf>
    <x:xf numFmtId="0" fontId="9" fillId="9" borderId="16" xfId="0" applyNumberFormat="1" applyFont="1" applyFill="1" applyBorder="1" applyAlignment="1">
      <x:alignment horizontal="center" wrapText="1"/>
    </x:xf>
    <x:xf numFmtId="0" fontId="9" fillId="9" borderId="17" xfId="0" applyNumberFormat="1" applyFont="1" applyFill="1" applyBorder="1" applyAlignment="1">
      <x:alignment horizontal="center" wrapText="1"/>
    </x:xf>
    <x:xf numFmtId="0" fontId="9" fillId="9" borderId="10" xfId="0" applyNumberFormat="1" applyFont="1" applyFill="1" applyBorder="1" applyAlignment="1">
      <x:alignment horizontal="center" vertical="center" wrapText="1"/>
    </x:xf>
    <x:xf numFmtId="0" fontId="9" fillId="9" borderId="11" xfId="0" applyNumberFormat="1" applyFont="1" applyFill="1" applyBorder="1" applyAlignment="1">
      <x:alignment horizontal="center" vertical="center" wrapText="1"/>
    </x:xf>
    <x:xf numFmtId="0" fontId="9" fillId="9" borderId="12" xfId="0" applyNumberFormat="1" applyFont="1" applyFill="1" applyBorder="1" applyAlignment="1">
      <x:alignment horizontal="center" vertical="center" wrapText="1"/>
    </x:xf>
    <x:xf numFmtId="0" fontId="9" fillId="9" borderId="13" xfId="0" applyNumberFormat="1" applyFont="1" applyFill="1" applyBorder="1" applyAlignment="1">
      <x:alignment horizontal="center" vertical="center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9" fillId="9" borderId="14" xfId="0" applyNumberFormat="1" applyFont="1" applyFill="1" applyBorder="1" applyAlignment="1">
      <x:alignment horizontal="center" vertical="center" wrapText="1"/>
    </x:xf>
    <x:xf numFmtId="0" fontId="9" fillId="9" borderId="15" xfId="0" applyNumberFormat="1" applyFont="1" applyFill="1" applyBorder="1" applyAlignment="1">
      <x:alignment horizontal="center" vertical="center" wrapText="1"/>
    </x:xf>
    <x:xf numFmtId="0" fontId="9" fillId="9" borderId="16" xfId="0" applyNumberFormat="1" applyFont="1" applyFill="1" applyBorder="1" applyAlignment="1">
      <x:alignment horizontal="center" vertical="center" wrapText="1"/>
    </x:xf>
    <x:xf numFmtId="0" fontId="9" fillId="9" borderId="17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/>
    <x:xf numFmtId="0" fontId="9" fillId="8" borderId="10" xfId="0" applyNumberFormat="1" applyFont="1" applyFill="1" applyBorder="1"/>
    <x:xf numFmtId="0" fontId="9" fillId="8" borderId="12" xfId="0" applyNumberFormat="1" applyFont="1" applyFill="1" applyBorder="1"/>
    <x:xf numFmtId="0" fontId="9" fillId="8" borderId="13" xfId="0" applyNumberFormat="1" applyFont="1" applyFill="1" applyBorder="1"/>
    <x:xf numFmtId="0" fontId="9" fillId="8" borderId="14" xfId="0" applyNumberFormat="1" applyFont="1" applyFill="1" applyBorder="1"/>
    <x:xf numFmtId="0" fontId="9" fillId="8" borderId="15" xfId="0" applyNumberFormat="1" applyFont="1" applyFill="1" applyBorder="1"/>
    <x:xf numFmtId="0" fontId="9" fillId="8" borderId="17" xfId="0" applyNumberFormat="1" applyFont="1" applyFill="1" applyBorder="1"/>
    <x:xf numFmtId="0" fontId="9" fillId="8" borderId="10" xfId="0" applyNumberFormat="1" applyFont="1" applyFill="1" applyBorder="1" applyAlignment="1">
      <x:alignment wrapText="1"/>
    </x:xf>
    <x:xf numFmtId="0" fontId="9" fillId="8" borderId="12" xfId="0" applyNumberFormat="1" applyFont="1" applyFill="1" applyBorder="1" applyAlignment="1">
      <x:alignment wrapText="1"/>
    </x:xf>
    <x:xf numFmtId="0" fontId="9" fillId="8" borderId="13" xfId="0" applyNumberFormat="1" applyFont="1" applyFill="1" applyBorder="1" applyAlignment="1">
      <x:alignment wrapText="1"/>
    </x:xf>
    <x:xf numFmtId="0" fontId="9" fillId="8" borderId="14" xfId="0" applyNumberFormat="1" applyFont="1" applyFill="1" applyBorder="1" applyAlignment="1">
      <x:alignment wrapText="1"/>
    </x:xf>
    <x:xf numFmtId="0" fontId="9" fillId="8" borderId="15" xfId="0" applyNumberFormat="1" applyFont="1" applyFill="1" applyBorder="1" applyAlignment="1">
      <x:alignment wrapText="1"/>
    </x:xf>
    <x:xf numFmtId="0" fontId="9" fillId="8" borderId="17" xfId="0" applyNumberFormat="1" applyFont="1" applyFill="1" applyBorder="1" applyAlignment="1">
      <x:alignment wrapText="1"/>
    </x:xf>
    <x:xf numFmtId="0" fontId="9" fillId="8" borderId="10" xfId="0" applyNumberFormat="1" applyFont="1" applyFill="1" applyBorder="1" applyAlignment="1">
      <x:alignment horizontal="center" wrapText="1"/>
    </x:xf>
    <x:xf numFmtId="0" fontId="9" fillId="8" borderId="12" xfId="0" applyNumberFormat="1" applyFont="1" applyFill="1" applyBorder="1" applyAlignment="1">
      <x:alignment horizontal="center" wrapText="1"/>
    </x:xf>
    <x:xf numFmtId="0" fontId="9" fillId="8" borderId="13" xfId="0" applyNumberFormat="1" applyFont="1" applyFill="1" applyBorder="1" applyAlignment="1">
      <x:alignment horizontal="center" wrapText="1"/>
    </x:xf>
    <x:xf numFmtId="0" fontId="9" fillId="8" borderId="14" xfId="0" applyNumberFormat="1" applyFont="1" applyFill="1" applyBorder="1" applyAlignment="1">
      <x:alignment horizontal="center" wrapText="1"/>
    </x:xf>
    <x:xf numFmtId="0" fontId="9" fillId="8" borderId="15" xfId="0" applyNumberFormat="1" applyFont="1" applyFill="1" applyBorder="1" applyAlignment="1">
      <x:alignment horizontal="center" wrapText="1"/>
    </x:xf>
    <x:xf numFmtId="0" fontId="9" fillId="8" borderId="17" xfId="0" applyNumberFormat="1" applyFont="1" applyFill="1" applyBorder="1" applyAlignment="1">
      <x:alignment horizontal="center" wrapText="1"/>
    </x:xf>
    <x:xf numFmtId="0" fontId="9" fillId="8" borderId="10" xfId="0" applyNumberFormat="1" applyFont="1" applyFill="1" applyBorder="1" applyAlignment="1">
      <x:alignment horizontal="center" vertical="center" wrapText="1"/>
    </x:xf>
    <x:xf numFmtId="0" fontId="9" fillId="8" borderId="12" xfId="0" applyNumberFormat="1" applyFont="1" applyFill="1" applyBorder="1" applyAlignment="1">
      <x:alignment horizontal="center" vertical="center" wrapText="1"/>
    </x:xf>
    <x:xf numFmtId="0" fontId="9" fillId="8" borderId="13" xfId="0" applyNumberFormat="1" applyFont="1" applyFill="1" applyBorder="1" applyAlignment="1">
      <x:alignment horizontal="center" vertical="center" wrapText="1"/>
    </x:xf>
    <x:xf numFmtId="0" fontId="9" fillId="8" borderId="14" xfId="0" applyNumberFormat="1" applyFont="1" applyFill="1" applyBorder="1" applyAlignment="1">
      <x:alignment horizontal="center" vertical="center" wrapText="1"/>
    </x:xf>
    <x:xf numFmtId="0" fontId="9" fillId="8" borderId="15" xfId="0" applyNumberFormat="1" applyFont="1" applyFill="1" applyBorder="1" applyAlignment="1">
      <x:alignment horizontal="center" vertical="center" wrapText="1"/>
    </x:xf>
    <x:xf numFmtId="0" fontId="9" fillId="8" borderId="17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wrapText="1"/>
    </x:xf>
    <x:xf numFmtId="0" fontId="5" fillId="10" borderId="1" xfId="0" applyNumberFormat="1" applyFont="1" applyFill="1" applyBorder="1" applyAlignment="1">
      <x:alignment horizontal="right" wrapText="1"/>
    </x:xf>
    <x:xf numFmtId="0" fontId="5" fillId="10" borderId="1" xfId="0" applyNumberFormat="1" applyFont="1" applyFill="1" applyBorder="1" applyAlignment="1">
      <x:alignment horizontal="right" vertical="center" wrapText="1"/>
    </x:xf>
    <x:xf numFmtId="0" fontId="10" fillId="10" borderId="1" xfId="0" applyNumberFormat="1" applyFont="1" applyFill="1" applyBorder="1" applyAlignment="1">
      <x:alignment horizontal="right" vertical="center" wrapText="1"/>
    </x:xf>
    <x:xf numFmtId="0" fontId="11" fillId="2" borderId="0" xfId="0" applyNumberFormat="1" applyFont="1" applyFill="1" applyBorder="1"/>
    <x:xf numFmtId="0" fontId="11" fillId="2" borderId="18" xfId="0" applyNumberFormat="1" applyFont="1" applyFill="1" applyBorder="1"/>
    <x:xf numFmtId="0" fontId="11" fillId="2" borderId="19" xfId="0" applyNumberFormat="1" applyFont="1" applyFill="1" applyBorder="1"/>
    <x:xf numFmtId="0" fontId="11" fillId="2" borderId="20" xfId="0" applyNumberFormat="1" applyFont="1" applyFill="1" applyBorder="1"/>
    <x:xf numFmtId="0" fontId="11" fillId="2" borderId="21" xfId="0" applyNumberFormat="1" applyFont="1" applyFill="1" applyBorder="1"/>
    <x:xf numFmtId="0" fontId="11" fillId="2" borderId="22" xfId="0" applyNumberFormat="1" applyFont="1" applyFill="1" applyBorder="1"/>
    <x:xf numFmtId="0" fontId="11" fillId="2" borderId="23" xfId="0" applyNumberFormat="1" applyFont="1" applyFill="1" applyBorder="1"/>
    <x:xf numFmtId="0" fontId="11" fillId="2" borderId="24" xfId="0" applyNumberFormat="1" applyFont="1" applyFill="1" applyBorder="1"/>
    <x:xf numFmtId="0" fontId="11" fillId="2" borderId="25" xfId="0" applyNumberFormat="1" applyFont="1" applyFill="1" applyBorder="1"/>
    <x:xf numFmtId="0" fontId="11" fillId="2" borderId="18" xfId="0" applyNumberFormat="1" applyFont="1" applyFill="1" applyBorder="1" applyAlignment="1">
      <x:alignment wrapText="1"/>
    </x:xf>
    <x:xf numFmtId="0" fontId="11" fillId="2" borderId="19" xfId="0" applyNumberFormat="1" applyFont="1" applyFill="1" applyBorder="1" applyAlignment="1">
      <x:alignment wrapText="1"/>
    </x:xf>
    <x:xf numFmtId="0" fontId="11" fillId="2" borderId="20" xfId="0" applyNumberFormat="1" applyFont="1" applyFill="1" applyBorder="1" applyAlignment="1">
      <x:alignment wrapText="1"/>
    </x:xf>
    <x:xf numFmtId="0" fontId="11" fillId="2" borderId="21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wrapText="1"/>
    </x:xf>
    <x:xf numFmtId="0" fontId="11" fillId="2" borderId="22" xfId="0" applyNumberFormat="1" applyFont="1" applyFill="1" applyBorder="1" applyAlignment="1">
      <x:alignment wrapText="1"/>
    </x:xf>
    <x:xf numFmtId="0" fontId="11" fillId="2" borderId="23" xfId="0" applyNumberFormat="1" applyFont="1" applyFill="1" applyBorder="1" applyAlignment="1">
      <x:alignment wrapText="1"/>
    </x:xf>
    <x:xf numFmtId="0" fontId="11" fillId="2" borderId="24" xfId="0" applyNumberFormat="1" applyFont="1" applyFill="1" applyBorder="1" applyAlignment="1">
      <x:alignment wrapText="1"/>
    </x:xf>
    <x:xf numFmtId="0" fontId="11" fillId="2" borderId="25" xfId="0" applyNumberFormat="1" applyFont="1" applyFill="1" applyBorder="1" applyAlignment="1">
      <x:alignment wrapText="1"/>
    </x:xf>
    <x:xf numFmtId="0" fontId="11" fillId="2" borderId="18" xfId="0" applyNumberFormat="1" applyFont="1" applyFill="1" applyBorder="1" applyAlignment="1">
      <x:alignment horizontal="right" wrapText="1"/>
    </x:xf>
    <x:xf numFmtId="0" fontId="11" fillId="2" borderId="19" xfId="0" applyNumberFormat="1" applyFont="1" applyFill="1" applyBorder="1" applyAlignment="1">
      <x:alignment horizontal="right" wrapText="1"/>
    </x:xf>
    <x:xf numFmtId="0" fontId="11" fillId="2" borderId="20" xfId="0" applyNumberFormat="1" applyFont="1" applyFill="1" applyBorder="1" applyAlignment="1">
      <x:alignment horizontal="right" wrapText="1"/>
    </x:xf>
    <x:xf numFmtId="0" fontId="11" fillId="2" borderId="21" xfId="0" applyNumberFormat="1" applyFont="1" applyFill="1" applyBorder="1" applyAlignment="1">
      <x:alignment horizontal="right" wrapText="1"/>
    </x:xf>
    <x:xf numFmtId="0" fontId="11" fillId="2" borderId="0" xfId="0" applyNumberFormat="1" applyFont="1" applyFill="1" applyBorder="1" applyAlignment="1">
      <x:alignment horizontal="right" wrapText="1"/>
    </x:xf>
    <x:xf numFmtId="0" fontId="11" fillId="2" borderId="22" xfId="0" applyNumberFormat="1" applyFont="1" applyFill="1" applyBorder="1" applyAlignment="1">
      <x:alignment horizontal="right" wrapText="1"/>
    </x:xf>
    <x:xf numFmtId="0" fontId="11" fillId="2" borderId="23" xfId="0" applyNumberFormat="1" applyFont="1" applyFill="1" applyBorder="1" applyAlignment="1">
      <x:alignment horizontal="right" wrapText="1"/>
    </x:xf>
    <x:xf numFmtId="0" fontId="11" fillId="2" borderId="24" xfId="0" applyNumberFormat="1" applyFont="1" applyFill="1" applyBorder="1" applyAlignment="1">
      <x:alignment horizontal="right" wrapText="1"/>
    </x:xf>
    <x:xf numFmtId="0" fontId="11" fillId="2" borderId="25" xfId="0" applyNumberFormat="1" applyFont="1" applyFill="1" applyBorder="1" applyAlignment="1">
      <x:alignment horizontal="right" wrapText="1"/>
    </x:xf>
    <x:xf numFmtId="0" fontId="11" fillId="2" borderId="18" xfId="0" applyNumberFormat="1" applyFont="1" applyFill="1" applyBorder="1" applyAlignment="1">
      <x:alignment horizontal="right" vertical="center" wrapText="1"/>
    </x:xf>
    <x:xf numFmtId="0" fontId="11" fillId="2" borderId="19" xfId="0" applyNumberFormat="1" applyFont="1" applyFill="1" applyBorder="1" applyAlignment="1">
      <x:alignment horizontal="right" vertical="center" wrapText="1"/>
    </x:xf>
    <x:xf numFmtId="0" fontId="11" fillId="2" borderId="20" xfId="0" applyNumberFormat="1" applyFont="1" applyFill="1" applyBorder="1" applyAlignment="1">
      <x:alignment horizontal="right" vertical="center" wrapText="1"/>
    </x:xf>
    <x:xf numFmtId="0" fontId="11" fillId="2" borderId="21" xfId="0" applyNumberFormat="1" applyFont="1" applyFill="1" applyBorder="1" applyAlignment="1">
      <x:alignment horizontal="right" vertical="center" wrapText="1"/>
    </x:xf>
    <x:xf numFmtId="0" fontId="11" fillId="2" borderId="0" xfId="0" applyNumberFormat="1" applyFont="1" applyFill="1" applyBorder="1" applyAlignment="1">
      <x:alignment horizontal="right" vertical="center" wrapText="1"/>
    </x:xf>
    <x:xf numFmtId="0" fontId="11" fillId="2" borderId="22" xfId="0" applyNumberFormat="1" applyFont="1" applyFill="1" applyBorder="1" applyAlignment="1">
      <x:alignment horizontal="right" vertical="center" wrapText="1"/>
    </x:xf>
    <x:xf numFmtId="0" fontId="11" fillId="2" borderId="23" xfId="0" applyNumberFormat="1" applyFont="1" applyFill="1" applyBorder="1" applyAlignment="1">
      <x:alignment horizontal="right" vertical="center" wrapText="1"/>
    </x:xf>
    <x:xf numFmtId="0" fontId="11" fillId="2" borderId="24" xfId="0" applyNumberFormat="1" applyFont="1" applyFill="1" applyBorder="1" applyAlignment="1">
      <x:alignment horizontal="right" vertical="center" wrapText="1"/>
    </x:xf>
    <x:xf numFmtId="0" fontId="11" fillId="2" borderId="25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">
    <x:dxf>
      <x:font>
        <x:b/>
        <x:color rgb="FF15803D"/>
      </x:font>
      <x:fill>
        <x:patternFill patternType="solid">
          <x:bgColor rgb="FFEAF6ED"/>
        </x:patternFill>
      </x:fill>
    </x:dxf>
    <x:dxf>
      <x:font>
        <x:b/>
        <x:color rgb="FF15803D"/>
      </x:font>
      <x:fill>
        <x:patternFill patternType="solid">
          <x:bgColor rgb="FFEAF6ED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4998eba004a33" /><Relationship Type="http://schemas.openxmlformats.org/officeDocument/2006/relationships/theme" Target="/xl/theme/theme1.xml" Id="Rd510a75bc32e4651" /><Relationship Type="http://schemas.openxmlformats.org/officeDocument/2006/relationships/sharedStrings" Target="/xl/sharedStrings.xml" Id="R36fbcc2f91ce4745" /><Relationship Type="http://schemas.openxmlformats.org/officeDocument/2006/relationships/worksheet" Target="/xl/worksheets/sheet1.xml" Id="Rc24f43f4029141f1" /><Relationship Type="http://schemas.openxmlformats.org/officeDocument/2006/relationships/worksheet" Target="/xl/worksheets/sheet2.xml" Id="Rc707173a01854e54" /><Relationship Type="http://schemas.openxmlformats.org/officeDocument/2006/relationships/worksheet" Target="/xl/worksheets/sheet3.xml" Id="R15d820a329af4732" /><Relationship Type="http://schemas.openxmlformats.org/officeDocument/2006/relationships/worksheet" Target="/xl/worksheets/sheet4.xml" Id="R8dd6f33b705549b3" /><Relationship Type="http://schemas.openxmlformats.org/officeDocument/2006/relationships/worksheet" Target="/xl/worksheets/sheet5.xml" Id="R1637383a95b249c1" /><Relationship Type="http://schemas.openxmlformats.org/officeDocument/2006/relationships/worksheet" Target="/xl/worksheets/sheet6.xml" Id="R52e8a914acd24d8b" /><Relationship Type="http://schemas.openxmlformats.org/officeDocument/2006/relationships/worksheet" Target="/xl/worksheets/sheet7.xml" Id="R2124a84bf6454269" /><Relationship Type="http://schemas.openxmlformats.org/officeDocument/2006/relationships/worksheet" Target="/xl/worksheets/sheet8.xml" Id="R00d92e1232614914" /><Relationship Type="http://schemas.openxmlformats.org/officeDocument/2006/relationships/worksheet" Target="/xl/worksheets/sheet9.xml" Id="R7fef34bf59c244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0fd0f7fda748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CAPEX الموصى به حسب فئة الخدمة (مليون ر.س)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Standard CAPEX (M SAR)</c:v>
          </c:tx>
          <c:cat>
            <c:strRef>
              <c:f>'الملخص'!$J$10:$J$15</c:f>
              <c:strCache>
                <c:ptCount val="0"/>
              </c:strCache>
            </c:strRef>
          </c:cat>
          <c:val>
            <c:numRef>
              <c:f>'الملخص'!$K$10:$K$15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16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0fd0f7fda748e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6697b4a8464a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" hidden="0" customWidth="1"/>
    <x:col min="3" max="3" width="23" hidden="0" customWidth="1"/>
    <x:col min="4" max="4" width="15" hidden="0" customWidth="1"/>
    <x:col min="5" max="5" width="15" hidden="0" customWidth="1"/>
    <x:col min="6" max="6" width="12" hidden="0" customWidth="1"/>
    <x:col min="7" max="7" width="33" hidden="0" customWidth="1"/>
    <x:col min="8" max="8" width="28" hidden="0" customWidth="1"/>
    <x:col min="9" max="9" width="3" hidden="0" customWidth="1"/>
    <x:col min="10" max="10" width="28" hidden="0" customWidth="1"/>
    <x:col min="11" max="11" width="18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38" customHeight="1">
      <x:c r="A1" s="4" t="str">
        <x:v>AgentSaaS On-Prem — توصية شراء llama.cpp عند 75 tok/s لكل مستخدم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9" t="str">
        <x:v>الخلاصة: ميزانية 2M ر.س غير كافية لتصميم إنتاجي كامل لـ30 مستخدماً بهذا الـSLO. نقطة البداية الواقعية ≈2.60M Standard أو ≈3.53M N+1 مع Qwen3.6-35B-A3B.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>
      <x:c r="A4" s="121" t="str">
        <x:v>30 مستخدماً
الحد الأدنى الواقعي</x:v>
      </x:c>
      <x:c r="B4" s="122"/>
      <x:c r="C4" s="123"/>
      <x:c r="D4" s="158" t="str">
        <x:v>≈2.60M ر.س
Qwen3.6-35B-A3B</x:v>
      </x:c>
      <x:c r="E4" s="159"/>
      <x:c r="F4" s="160"/>
      <x:c r="G4" s="158" t="str">
        <x:v>50 مستخدماً
≈2.83M ر.س</x:v>
      </x:c>
      <x:c r="H4" s="159"/>
      <x:c r="I4" s="160"/>
      <x:c r="J4" s="195" t="str">
        <x:v>Premium 30
≈5.22M ر.س</x:v>
      </x:c>
      <x:c r="K4" s="196"/>
      <x:c r="L4" s="197"/>
      <x:c r="M4" s="223" t="str">
        <x:v>Frontier 30
≈14.17M+</x:v>
      </x:c>
      <x:c r="N4" s="224"/>
    </x:row>
    <x:row r="5">
      <x:c r="A5" s="124"/>
      <x:c r="B5" s="125"/>
      <x:c r="C5" s="126"/>
      <x:c r="D5" s="161"/>
      <x:c r="E5" s="162"/>
      <x:c r="F5" s="163"/>
      <x:c r="G5" s="161"/>
      <x:c r="H5" s="162"/>
      <x:c r="I5" s="163"/>
      <x:c r="J5" s="198"/>
      <x:c r="K5" s="199"/>
      <x:c r="L5" s="200"/>
      <x:c r="M5" s="225"/>
      <x:c r="N5" s="226"/>
    </x:row>
    <x:row r="6">
      <x:c r="A6" s="127"/>
      <x:c r="B6" s="128"/>
      <x:c r="C6" s="129"/>
      <x:c r="D6" s="164"/>
      <x:c r="E6" s="165"/>
      <x:c r="F6" s="166"/>
      <x:c r="G6" s="164"/>
      <x:c r="H6" s="165"/>
      <x:c r="I6" s="166"/>
      <x:c r="J6" s="201"/>
      <x:c r="K6" s="202"/>
      <x:c r="L6" s="203"/>
      <x:c r="M6" s="227"/>
      <x:c r="N6" s="228"/>
    </x:row>
    <x:row r="8" ht="25" customHeight="1">
      <x:c r="A8" s="13" t="str">
        <x:v>الخيارات الموصى بها</x:v>
      </x:c>
      <x:c r="B8" s="13"/>
      <x:c r="C8" s="13"/>
      <x:c r="D8" s="13"/>
      <x:c r="E8" s="13"/>
      <x:c r="F8" s="13"/>
      <x:c r="G8" s="13"/>
      <x:c r="H8" s="13"/>
    </x:row>
    <x:row r="9" ht="38" customHeight="1">
      <x:c r="A9" s="19" t="str">
        <x:v>Tier</x:v>
      </x:c>
      <x:c r="B9" s="19" t="str">
        <x:v>Users</x:v>
      </x:c>
      <x:c r="C9" s="19" t="str">
        <x:v>Model</x:v>
      </x:c>
      <x:c r="D9" s="19" t="str">
        <x:v>Standard M SAR</x:v>
      </x:c>
      <x:c r="E9" s="19" t="str">
        <x:v>N+1 M SAR</x:v>
      </x:c>
      <x:c r="F9" s="19" t="str">
        <x:v>tok/s/user</x:v>
      </x:c>
      <x:c r="G9" s="19" t="str">
        <x:v>الفرق العملي</x:v>
      </x:c>
      <x:c r="H9" s="19" t="str">
        <x:v>التوصية</x:v>
      </x:c>
      <x:c r="J9" s="19" t="str">
        <x:v>الخيار</x:v>
      </x:c>
      <x:c r="K9" s="19" t="str">
        <x:v>Standard CAPEX (M SAR)</x:v>
      </x:c>
    </x:row>
    <x:row r="10" ht="54" customHeight="1">
      <x:c r="A10" s="43" t="str">
        <x:v>Value 30</x:v>
      </x:c>
      <x:c r="B10" s="43" t="n">
        <x:v>30</x:v>
      </x:c>
      <x:c r="C10" s="43" t="str">
        <x:v>Qwen3.6-35B-A3B</x:v>
      </x:c>
      <x:c r="D10" s="47" t="n">
        <x:f>'السيناريوهات'!K6</x:f>
        <x:v>2.601875</x:v>
      </x:c>
      <x:c r="E10" s="47" t="n">
        <x:f>'السيناريوهات'!M6</x:f>
        <x:v>3.5290624999999993</x:v>
      </x:c>
      <x:c r="F10" s="45" t="n">
        <x:f>'السيناريوهات'!J6</x:f>
        <x:v>80</x:v>
      </x:c>
      <x:c r="G10" s="24" t="str">
        <x:v>مهام يومية، agents وأدوات، كود متوسط؛ أعلى throughput/ريال</x:v>
      </x:c>
      <x:c r="H10" s="24" t="str">
        <x:v>ابدأ به إذا الميزانية حساسة</x:v>
      </x:c>
      <x:c r="J10" s="24" t="str">
        <x:f>A10&amp;" — "&amp;C10</x:f>
        <x:v>Value 30 — Qwen3.6-35B-A3B</x:v>
      </x:c>
      <x:c r="K10" s="55" t="n">
        <x:f>D10</x:f>
        <x:v>2.601875</x:v>
      </x:c>
    </x:row>
    <x:row r="11" ht="54" customHeight="1">
      <x:c r="A11" s="44" t="str">
        <x:v>Professional 30</x:v>
      </x:c>
      <x:c r="B11" s="44" t="n">
        <x:v>30</x:v>
      </x:c>
      <x:c r="C11" s="44" t="str">
        <x:v>Qwen3.6-27B</x:v>
      </x:c>
      <x:c r="D11" s="48" t="n">
        <x:f>'السيناريوهات'!K9</x:f>
        <x:v>3.5290624999999993</x:v>
      </x:c>
      <x:c r="E11" s="48" t="n">
        <x:f>'السيناريوهات'!M9</x:f>
        <x:v>4.45625</x:v>
      </x:c>
      <x:c r="F11" s="46" t="n">
        <x:f>'السيناريوهات'!J9</x:f>
        <x:v>76</x:v>
      </x:c>
      <x:c r="G11" s="31" t="str">
        <x:v>repo reasoning وfrontend وVision وcoding أصعب</x:v>
      </x:c>
      <x:c r="H11" s="31" t="str">
        <x:v>أفضل توازن جودة/تكلفة لـ30</x:v>
      </x:c>
      <x:c r="J11" s="24" t="str">
        <x:f>A11&amp;" — "&amp;C11</x:f>
        <x:v>Professional 30 — Qwen3.6-27B</x:v>
      </x:c>
      <x:c r="K11" s="55" t="n">
        <x:f>D11</x:f>
        <x:v>3.5290624999999993</x:v>
      </x:c>
    </x:row>
    <x:row r="12" ht="54" customHeight="1">
      <x:c r="A12" s="43" t="str">
        <x:v>Value 50</x:v>
      </x:c>
      <x:c r="B12" s="43" t="n">
        <x:v>50</x:v>
      </x:c>
      <x:c r="C12" s="43" t="str">
        <x:v>Qwen3.6-35B-A3B</x:v>
      </x:c>
      <x:c r="D12" s="47" t="n">
        <x:f>'السيناريوهات'!K7</x:f>
        <x:v>2.831875</x:v>
      </x:c>
      <x:c r="E12" s="47" t="n">
        <x:f>'السيناريوهات'!M7</x:f>
        <x:v>3.7590624999999998</x:v>
      </x:c>
      <x:c r="F12" s="45" t="n">
        <x:f>'السيناريوهات'!J7</x:f>
        <x:v>76.8</x:v>
      </x:c>
      <x:c r="G12" s="24" t="str">
        <x:v>يوسع العدد مع جودة جيدة وسرعة ثابتة</x:v>
      </x:c>
      <x:c r="H12" s="24" t="str">
        <x:v>أفضل قيمة لخمسين مستخدماً</x:v>
      </x:c>
      <x:c r="J12" s="24" t="str">
        <x:f>A12&amp;" — "&amp;C12</x:f>
        <x:v>Value 50 — Qwen3.6-35B-A3B</x:v>
      </x:c>
      <x:c r="K12" s="55" t="n">
        <x:f>D12</x:f>
        <x:v>2.831875</x:v>
      </x:c>
    </x:row>
    <x:row r="13" ht="54" customHeight="1">
      <x:c r="A13" s="44" t="str">
        <x:v>Coding 50</x:v>
      </x:c>
      <x:c r="B13" s="44" t="n">
        <x:v>50</x:v>
      </x:c>
      <x:c r="C13" s="44" t="str">
        <x:v>Qwen3-Coder-Next</x:v>
      </x:c>
      <x:c r="D13" s="48" t="n">
        <x:f>'السيناريوهات'!K10</x:f>
        <x:v>3.7590624999999998</x:v>
      </x:c>
      <x:c r="E13" s="48" t="n">
        <x:f>'السيناريوهات'!M10</x:f>
        <x:v>4.68625</x:v>
      </x:c>
      <x:c r="F13" s="46" t="n">
        <x:f>'السيناريوهات'!J10</x:f>
        <x:v>75.6</x:v>
      </x:c>
      <x:c r="G13" s="31" t="str">
        <x:v>long-horizon text coding + tool recovery</x:v>
      </x:c>
      <x:c r="H13" s="31" t="str">
        <x:v>اختره إذا لا تحتاج Vision</x:v>
      </x:c>
      <x:c r="J13" s="24" t="str">
        <x:f>A13&amp;" — "&amp;C13</x:f>
        <x:v>Coding 50 — Qwen3-Coder-Next</x:v>
      </x:c>
      <x:c r="K13" s="55" t="n">
        <x:f>D13</x:f>
        <x:v>3.7590624999999998</x:v>
      </x:c>
    </x:row>
    <x:row r="14" ht="54" customHeight="1">
      <x:c r="A14" s="43" t="str">
        <x:v>Premium 30</x:v>
      </x:c>
      <x:c r="B14" s="43" t="n">
        <x:v>30</x:v>
      </x:c>
      <x:c r="C14" s="43" t="str">
        <x:v>MiniMax M2.7</x:v>
      </x:c>
      <x:c r="D14" s="47" t="n">
        <x:f>'السيناريوهات'!K12</x:f>
        <x:v>5.22008</x:v>
      </x:c>
      <x:c r="E14" s="47" t="n">
        <x:f>'السيناريوهات'!M12</x:f>
        <x:v>7.456369999999999</x:v>
      </x:c>
      <x:c r="F14" s="45" t="n">
        <x:f>'السيناريوهات'!J12</x:f>
        <x:v>77</x:v>
      </x:c>
      <x:c r="G14" s="24" t="str">
        <x:v>multi-agent وSRE/debugging وOffice workflows أصعب</x:v>
      </x:c>
      <x:c r="H14" s="24" t="str">
        <x:v>يستحق بعد إثبات تحسن نجاح المهمة</x:v>
      </x:c>
      <x:c r="J14" s="24" t="str">
        <x:f>A14&amp;" — "&amp;C14</x:f>
        <x:v>Premium 30 — MiniMax M2.7</x:v>
      </x:c>
      <x:c r="K14" s="55" t="n">
        <x:f>D14</x:f>
        <x:v>5.22008</x:v>
      </x:c>
    </x:row>
    <x:row r="15" ht="54" customHeight="1">
      <x:c r="A15" s="44" t="str">
        <x:v>Frontier 30</x:v>
      </x:c>
      <x:c r="B15" s="44" t="n">
        <x:v>30</x:v>
      </x:c>
      <x:c r="C15" s="44" t="str">
        <x:v>GLM-5.2</x:v>
      </x:c>
      <x:c r="D15" s="48" t="n">
        <x:f>'السيناريوهات'!K16</x:f>
        <x:v>14.165239999999999</x:v>
      </x:c>
      <x:c r="E15" s="48" t="n">
        <x:f>'السيناريوهات'!M16</x:f>
        <x:v>16.401529999999998</x:v>
      </x:c>
      <x:c r="F15" s="46" t="n">
        <x:f>'السيناريوهات'!J16</x:f>
        <x:v>78</x:v>
      </x:c>
      <x:c r="G15" s="31" t="str">
        <x:v>أعلى agentic/terminal/tool quality في المقارنة</x:v>
      </x:c>
      <x:c r="H15" s="31" t="str">
        <x:v>Deep Lane فقط غالباً؛ لا default للجميع</x:v>
      </x:c>
      <x:c r="J15" s="24" t="str">
        <x:f>A15&amp;" — "&amp;C15</x:f>
        <x:v>Frontier 30 — GLM-5.2</x:v>
      </x:c>
      <x:c r="K15" s="55" t="n">
        <x:f>D15</x:f>
        <x:v>14.165239999999999</x:v>
      </x:c>
    </x:row>
    <x:row r="17" ht="25" customHeight="1">
      <x:c r="A17" s="13" t="str">
        <x:v>متى تدفع الفرق؟</x:v>
      </x:c>
      <x:c r="B17" s="13"/>
      <x:c r="C17" s="13"/>
      <x:c r="D17" s="13"/>
      <x:c r="E17" s="13"/>
      <x:c r="F17" s="13"/>
      <x:c r="G17" s="13"/>
      <x:c r="H17" s="13"/>
    </x:row>
    <x:row r="18" ht="54" customHeight="1">
      <x:c r="A18" s="51" t="str">
        <x:v>≈2.6–2.8M</x:v>
      </x:c>
      <x:c r="B18" s="233" t="str">
        <x:v>Qwen3.6-35B-A3B</x:v>
      </x:c>
      <x:c r="C18" s="233" t="str">
        <x:v>سرعة وتزامن بأقل CAPEX</x:v>
      </x:c>
      <x:c r="D18" s="233" t="str">
        <x:v>Agents روتينية، بحث داخلي، كتابة، كود متوسط</x:v>
      </x:c>
      <x:c r="E18" s="233" t="str">
        <x:v>لا</x:v>
      </x:c>
      <x:c r="F18" s="233" t="str">
        <x:v>أعلى قيمة</x:v>
      </x:c>
      <x:c r="G18" s="233" t="str">
        <x:v>اجعل 10–20% فقط Deep Lane عند الحاجة</x:v>
      </x:c>
      <x:c r="H18" s="234" t="str">
        <x:v>شراء مرشح</x:v>
      </x:c>
    </x:row>
    <x:row r="19" ht="54" customHeight="1">
      <x:c r="A19" s="51" t="str">
        <x:v>≈3.5–4.7M</x:v>
      </x:c>
      <x:c r="B19" s="233" t="str">
        <x:v>Qwen3.6-27B / Coder-Next</x:v>
      </x:c>
      <x:c r="C19" s="233" t="str">
        <x:v>جودة coding وrepo/tools أعلى</x:v>
      </x:c>
      <x:c r="D19" s="233" t="str">
        <x:v>frontend، bug fixing، code review، مستودعات أكبر</x:v>
      </x:c>
      <x:c r="E19" s="233" t="str">
        <x:v>نعم إذا coding أساسي</x:v>
      </x:c>
      <x:c r="F19" s="233" t="str">
        <x:v>أفضل توازن</x:v>
      </x:c>
      <x:c r="G19" s="233" t="str">
        <x:v>اختبر Vision/tool parser والسياق</x:v>
      </x:c>
      <x:c r="H19" s="234" t="str">
        <x:v>شراء موصى</x:v>
      </x:c>
    </x:row>
    <x:row r="20" ht="54" customHeight="1">
      <x:c r="A20" s="51" t="str">
        <x:v>≈5.2–7.7M</x:v>
      </x:c>
      <x:c r="B20" s="233" t="str">
        <x:v>MiniMax M2.7</x:v>
      </x:c>
      <x:c r="C20" s="233" t="str">
        <x:v>نجاح أفضل في workflows الطويلة ومتعددة الأدوات</x:v>
      </x:c>
      <x:c r="D20" s="233" t="str">
        <x:v>SRE، ML، multi-agent، Office معقد</x:v>
      </x:c>
      <x:c r="E20" s="233" t="str">
        <x:v>بعد POC</x:v>
      </x:c>
      <x:c r="F20" s="233" t="str">
        <x:v>Premium عملي</x:v>
      </x:c>
      <x:c r="G20" s="233" t="str">
        <x:v>Modified MIT + B200 procurement</x:v>
      </x:c>
      <x:c r="H20" s="234" t="str">
        <x:v>شراء مشروط</x:v>
      </x:c>
    </x:row>
    <x:row r="21" ht="54" customHeight="1">
      <x:c r="A21" s="51" t="str">
        <x:v>≈7.5–9.9M</x:v>
      </x:c>
      <x:c r="B21" s="233" t="str">
        <x:v>DeepSeek V4 Flash</x:v>
      </x:c>
      <x:c r="C21" s="233" t="str">
        <x:v>موديل أحدث وسياق 1M</x:v>
      </x:c>
      <x:c r="D21" s="233" t="str">
        <x:v>reasoning/coding عميق</x:v>
      </x:c>
      <x:c r="E21" s="233" t="str">
        <x:v>ليس بعد</x:v>
      </x:c>
      <x:c r="F21" s="233" t="str">
        <x:v>مخاطرة نضج</x:v>
      </x:c>
      <x:c r="G21" s="233" t="str">
        <x:v>llama.cpp support حديث وmulti-turn</x:v>
      </x:c>
      <x:c r="H21" s="234" t="str">
        <x:v>Pilot</x:v>
      </x:c>
    </x:row>
    <x:row r="22" ht="54" customHeight="1">
      <x:c r="A22" s="51" t="str">
        <x:v>≈14M+</x:v>
      </x:c>
      <x:c r="B22" s="233" t="str">
        <x:v>GLM-5.2 / Kimi K2.7</x:v>
      </x:c>
      <x:c r="C22" s="233" t="str">
        <x:v>Frontier local quality</x:v>
      </x:c>
      <x:c r="D22" s="233" t="str">
        <x:v>أعلى قيمة للمهام الحساسة والمعقدة جداً</x:v>
      </x:c>
      <x:c r="E22" s="233" t="str">
        <x:v>نادراً كـdefault</x:v>
      </x:c>
      <x:c r="F22" s="233" t="str">
        <x:v>Deep Lane</x:v>
      </x:c>
      <x:c r="G22" s="233" t="str">
        <x:v>CAPEX/Power/License/GGUF maturity</x:v>
      </x:c>
      <x:c r="H22" s="234" t="str">
        <x:v>استراتيجي</x:v>
      </x:c>
    </x:row>
    <x:row r="24">
      <x:c r="A24" s="262" t="str">
        <x:v>توصية المعمارية: لا تجعل الموديل الأكبر Default لكل الطلبات. استخدم Router بثلاث مسارات: (1) Qwen3.6-35B-A3B للمهام اليومية، (2) Qwen3.6-27B أو MiniMax M2.7 للمهام الصعبة، (3) Deep Lane محدود لـGLM/Kimi. بهذه الطريقة ترفع نجاح المهام دون دفع تكلفة Frontier لكل مستخدم ولكل توكن.</x:v>
      </x:c>
      <x:c r="B24" s="263"/>
      <x:c r="C24" s="263"/>
      <x:c r="D24" s="263"/>
      <x:c r="E24" s="263"/>
      <x:c r="F24" s="263"/>
      <x:c r="G24" s="263"/>
      <x:c r="H24" s="264"/>
    </x:row>
    <x:row r="25">
      <x:c r="A25" s="265"/>
      <x:c r="B25" s="266"/>
      <x:c r="C25" s="266"/>
      <x:c r="D25" s="266"/>
      <x:c r="E25" s="266"/>
      <x:c r="F25" s="266"/>
      <x:c r="G25" s="266"/>
      <x:c r="H25" s="267"/>
    </x:row>
    <x:row r="26">
      <x:c r="A26" s="265"/>
      <x:c r="B26" s="266"/>
      <x:c r="C26" s="266"/>
      <x:c r="D26" s="266"/>
      <x:c r="E26" s="266"/>
      <x:c r="F26" s="266"/>
      <x:c r="G26" s="266"/>
      <x:c r="H26" s="267"/>
    </x:row>
    <x:row r="27">
      <x:c r="A27" s="268"/>
      <x:c r="B27" s="269"/>
      <x:c r="C27" s="269"/>
      <x:c r="D27" s="269"/>
      <x:c r="E27" s="269"/>
      <x:c r="F27" s="269"/>
      <x:c r="G27" s="269"/>
      <x:c r="H27" s="270"/>
    </x:row>
  </x:sheetData>
  <x:mergeCells>
    <x:mergeCell ref="A1:N1"/>
    <x:mergeCell ref="A2:N2"/>
    <x:mergeCell ref="A4:C6"/>
    <x:mergeCell ref="D4:F6"/>
    <x:mergeCell ref="G4:I6"/>
    <x:mergeCell ref="J4:L6"/>
    <x:mergeCell ref="M4:N6"/>
    <x:mergeCell ref="A8:H8"/>
    <x:mergeCell ref="A17:H17"/>
    <x:mergeCell ref="A24:H27"/>
  </x:mergeCells>
  <x:pageMargins left="0.7" right="0.7" top="0.75" bottom="0.75" header="0.3" footer="0.3"/>
  <x:drawing xmlns:r="http://schemas.openxmlformats.org/officeDocument/2006/relationships" r:id="Ra16697b4a8464ad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22" hidden="0" customWidth="1"/>
    <x:col min="4" max="4" width="16" hidden="0" customWidth="1"/>
    <x:col min="5" max="5" width="23" hidden="0" customWidth="1"/>
    <x:col min="6" max="6" width="14" hidden="0" customWidth="1"/>
    <x:col min="7" max="7" width="12" hidden="0" customWidth="1"/>
    <x:col min="8" max="8" width="12" hidden="0" customWidth="1"/>
    <x:col min="9" max="9" width="11" hidden="0" customWidth="1"/>
    <x:col min="10" max="10" width="15" hidden="0" customWidth="1"/>
    <x:col min="11" max="11" width="17" hidden="0" customWidth="1"/>
    <x:col min="12" max="12" width="10" hidden="0" customWidth="1"/>
    <x:col min="13" max="13" width="17" hidden="0" customWidth="1"/>
    <x:col min="14" max="14" width="42" hidden="0" customWidth="1"/>
  </x:cols>
  <x:sheetData>
    <x:row r="1" ht="38" customHeight="1">
      <x:c r="A1" s="4" t="str">
        <x:v>14 سيناريو شراء — 30 و50 مستخدماً متزامناً عند ≥75 output tok/s لكل مستخدم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9" t="str">
        <x:v>الأسعار تشمل VAT وتكامل/دعم أول سنة واحتياطياً للشحن والقطع؛ Standard لا يضمن 75 tok/s أثناء تعطل عقدة. N+1 يضيف عقدة كاملة للحفاظ على السعة.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5" customHeight="1">
      <x:c r="A4" s="13" t="str">
        <x:v>مقارنة القرار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5" ht="38" customHeight="1">
      <x:c r="A5" s="19" t="str">
        <x:v>ID</x:v>
      </x:c>
      <x:c r="B5" s="19" t="str">
        <x:v>المستخدمون</x:v>
      </x:c>
      <x:c r="C5" s="19" t="str">
        <x:v>الموديل</x:v>
      </x:c>
      <x:c r="D5" s="19" t="str">
        <x:v>فئة القوة</x:v>
      </x:c>
      <x:c r="E5" s="19" t="str">
        <x:v>نوع العقدة</x:v>
      </x:c>
      <x:c r="F5" s="19" t="str">
        <x:v>الهدف الكلي tok/s</x:v>
      </x:c>
      <x:c r="G5" s="19" t="str">
        <x:v>Replicas فعالة</x:v>
      </x:c>
      <x:c r="H5" s="19" t="str">
        <x:v>عقد Standard</x:v>
      </x:c>
      <x:c r="I5" s="19" t="str">
        <x:v>GPU إجمالي</x:v>
      </x:c>
      <x:c r="J5" s="19" t="str">
        <x:v>المخطط لكل مستخدم tok/s</x:v>
      </x:c>
      <x:c r="K5" s="19" t="str">
        <x:v>Standard CAPEX مليون ر.س</x:v>
      </x:c>
      <x:c r="L5" s="19" t="str">
        <x:v>عقد N+1</x:v>
      </x:c>
      <x:c r="M5" s="19" t="str">
        <x:v>N+1 CAPEX مليون ر.س</x:v>
      </x:c>
      <x:c r="N5" s="19" t="str">
        <x:v>هل يستحق؟ / الاستخدام</x:v>
      </x:c>
    </x:row>
    <x:row r="6" ht="58" customHeight="1">
      <x:c r="A6" s="43" t="str">
        <x:v>S01</x:v>
      </x:c>
      <x:c r="B6" s="43" t="n">
        <x:v>30</x:v>
      </x:c>
      <x:c r="C6" s="43" t="str">
        <x:v>Qwen3.6-35B-A3B</x:v>
      </x:c>
      <x:c r="D6" s="43" t="str">
        <x:v>كفاءة</x:v>
      </x:c>
      <x:c r="E6" s="43" t="str">
        <x:f>'الافتراضات'!G18</x:f>
        <x:v>RTX PRO 6000 8-GPU</x:v>
      </x:c>
      <x:c r="F6" s="43" t="n">
        <x:f>B6*'الافتراضات'!$B$6</x:f>
        <x:v>2250</x:v>
      </x:c>
      <x:c r="G6" s="43" t="n">
        <x:f>ROUNDUP(F6/'الافتراضات'!D18,0)</x:f>
        <x:v>10</x:v>
      </x:c>
      <x:c r="H6" s="43" t="n">
        <x:f>MAX(2,ROUNDUP(G6/'الافتراضات'!F18,0))</x:f>
        <x:v>2</x:v>
      </x:c>
      <x:c r="I6" s="43" t="n">
        <x:f>H6*8</x:f>
        <x:v>16</x:v>
      </x:c>
      <x:c r="J6" s="45" t="n">
        <x:f>G6*'الافتراضات'!D18/B6</x:f>
        <x:v>80</x:v>
      </x:c>
      <x:c r="K6" s="47" t="n">
        <x:f>(((H6*'الافتراضات'!H18)+IF(B6=30,'الافتراضات'!$B$11,'الافتراضات'!$B$12)+(H6*'الافتراضات'!I18)+((H6*'الافتراضات'!H18)*'الافتراضات'!$B$9)+((H6*'الافتراضات'!H18)*'الافتراضات'!$B$10))*(1+'الافتراضات'!$B$8))/1000000</x:f>
        <x:v>2.601875</x:v>
      </x:c>
      <x:c r="L6" s="43" t="n">
        <x:f>H6+1</x:f>
        <x:v>3</x:v>
      </x:c>
      <x:c r="M6" s="47" t="n">
        <x:f>(((L6*'الافتراضات'!H18)+IF(B6=30,'الافتراضات'!$B$11,'الافتراضات'!$B$12)+(L6*'الافتراضات'!I18)+((L6*'الافتراضات'!H18)*'الافتراضات'!$B$9)+((L6*'الافتراضات'!H18)*'الافتراضات'!$B$10))*(1+'الافتراضات'!$B$8))/1000000</x:f>
        <x:v>3.5290624999999993</x:v>
      </x:c>
      <x:c r="N6" s="24" t="str">
        <x:v>أفضل قيمة للمهام اليومية، الأدوات، الدعم الداخلي والكود المتوسط؛ ليس الأقوى في إصلاح مستودعات صعبة.</x:v>
      </x:c>
    </x:row>
    <x:row r="7" ht="58" customHeight="1">
      <x:c r="A7" s="44" t="str">
        <x:v>S02</x:v>
      </x:c>
      <x:c r="B7" s="44" t="n">
        <x:v>50</x:v>
      </x:c>
      <x:c r="C7" s="44" t="str">
        <x:v>Qwen3.6-35B-A3B</x:v>
      </x:c>
      <x:c r="D7" s="44" t="str">
        <x:v>كفاءة</x:v>
      </x:c>
      <x:c r="E7" s="44" t="str">
        <x:f>'الافتراضات'!G18</x:f>
        <x:v>RTX PRO 6000 8-GPU</x:v>
      </x:c>
      <x:c r="F7" s="44" t="n">
        <x:f>B7*'الافتراضات'!$B$6</x:f>
        <x:v>3750</x:v>
      </x:c>
      <x:c r="G7" s="44" t="n">
        <x:f>ROUNDUP(F7/'الافتراضات'!D18,0)</x:f>
        <x:v>16</x:v>
      </x:c>
      <x:c r="H7" s="44" t="n">
        <x:f>MAX(2,ROUNDUP(G7/'الافتراضات'!F18,0))</x:f>
        <x:v>2</x:v>
      </x:c>
      <x:c r="I7" s="44" t="n">
        <x:f>H7*8</x:f>
        <x:v>16</x:v>
      </x:c>
      <x:c r="J7" s="46" t="n">
        <x:f>G7*'الافتراضات'!D18/B7</x:f>
        <x:v>76.8</x:v>
      </x:c>
      <x:c r="K7" s="48" t="n">
        <x:f>(((H7*'الافتراضات'!H18)+IF(B7=30,'الافتراضات'!$B$11,'الافتراضات'!$B$12)+(H7*'الافتراضات'!I18)+((H7*'الافتراضات'!H18)*'الافتراضات'!$B$9)+((H7*'الافتراضات'!H18)*'الافتراضات'!$B$10))*(1+'الافتراضات'!$B$8))/1000000</x:f>
        <x:v>2.831875</x:v>
      </x:c>
      <x:c r="L7" s="44" t="n">
        <x:f>H7+1</x:f>
        <x:v>3</x:v>
      </x:c>
      <x:c r="M7" s="48" t="n">
        <x:f>(((L7*'الافتراضات'!H18)+IF(B7=30,'الافتراضات'!$B$11,'الافتراضات'!$B$12)+(L7*'الافتراضات'!I18)+((L7*'الافتراضات'!H18)*'الافتراضات'!$B$9)+((L7*'الافتراضات'!H18)*'الافتراضات'!$B$10))*(1+'الافتراضات'!$B$8))/1000000</x:f>
        <x:v>3.7590624999999998</x:v>
      </x:c>
      <x:c r="N7" s="31" t="str">
        <x:v>أفضل CAPEX لخمسين مستخدماً؛ مناسب إذا كانت الأولوية للسرعة والتوسع لا لأعلى جودة reasoning.</x:v>
      </x:c>
    </x:row>
    <x:row r="8" ht="58" customHeight="1">
      <x:c r="A8" s="43" t="str">
        <x:v>S03</x:v>
      </x:c>
      <x:c r="B8" s="43" t="n">
        <x:v>30</x:v>
      </x:c>
      <x:c r="C8" s="43" t="str">
        <x:v>Qwen3-Coder-Next</x:v>
      </x:c>
      <x:c r="D8" s="43" t="str">
        <x:v>Coding متخصص</x:v>
      </x:c>
      <x:c r="E8" s="43" t="str">
        <x:f>'الافتراضات'!G19</x:f>
        <x:v>RTX PRO 6000 8-GPU</x:v>
      </x:c>
      <x:c r="F8" s="43" t="n">
        <x:f>B8*'الافتراضات'!$B$6</x:f>
        <x:v>2250</x:v>
      </x:c>
      <x:c r="G8" s="43" t="n">
        <x:f>ROUNDUP(F8/'الافتراضات'!D19,0)</x:f>
        <x:v>11</x:v>
      </x:c>
      <x:c r="H8" s="43" t="n">
        <x:f>MAX(2,ROUNDUP(G8/'الافتراضات'!F19,0))</x:f>
        <x:v>2</x:v>
      </x:c>
      <x:c r="I8" s="43" t="n">
        <x:f>H8*8</x:f>
        <x:v>16</x:v>
      </x:c>
      <x:c r="J8" s="45" t="n">
        <x:f>G8*'الافتراضات'!D19/B8</x:f>
        <x:v>77</x:v>
      </x:c>
      <x:c r="K8" s="47" t="n">
        <x:f>(((H8*'الافتراضات'!H19)+IF(B8=30,'الافتراضات'!$B$11,'الافتراضات'!$B$12)+(H8*'الافتراضات'!I19)+((H8*'الافتراضات'!H19)*'الافتراضات'!$B$9)+((H8*'الافتراضات'!H19)*'الافتراضات'!$B$10))*(1+'الافتراضات'!$B$8))/1000000</x:f>
        <x:v>2.601875</x:v>
      </x:c>
      <x:c r="L8" s="43" t="n">
        <x:f>H8+1</x:f>
        <x:v>3</x:v>
      </x:c>
      <x:c r="M8" s="47" t="n">
        <x:f>(((L8*'الافتراضات'!H19)+IF(B8=30,'الافتراضات'!$B$11,'الافتراضات'!$B$12)+(L8*'الافتراضات'!I19)+((L8*'الافتراضات'!H19)*'الافتراضات'!$B$9)+((L8*'الافتراضات'!H19)*'الافتراضات'!$B$10))*(1+'الافتراضات'!$B$8))/1000000</x:f>
        <x:v>3.5290624999999993</x:v>
      </x:c>
      <x:c r="N8" s="24" t="str">
        <x:v>يستحق لو الحمل Text-only coding agents وأدوات CLI؛ 3B active و256K، لكنه بلا Vision وبلا thinking mode.</x:v>
      </x:c>
    </x:row>
    <x:row r="9" ht="58" customHeight="1">
      <x:c r="A9" s="44" t="str">
        <x:v>S04</x:v>
      </x:c>
      <x:c r="B9" s="44" t="n">
        <x:v>30</x:v>
      </x:c>
      <x:c r="C9" s="44" t="str">
        <x:v>Qwen3.6-27B</x:v>
      </x:c>
      <x:c r="D9" s="44" t="str">
        <x:v>احترافي compact</x:v>
      </x:c>
      <x:c r="E9" s="44" t="str">
        <x:f>'الافتراضات'!G20</x:f>
        <x:v>RTX PRO 6000 8-GPU</x:v>
      </x:c>
      <x:c r="F9" s="44" t="n">
        <x:f>B9*'الافتراضات'!$B$6</x:f>
        <x:v>2250</x:v>
      </x:c>
      <x:c r="G9" s="44" t="n">
        <x:f>ROUNDUP(F9/'الافتراضات'!D20,0)</x:f>
        <x:v>19</x:v>
      </x:c>
      <x:c r="H9" s="44" t="n">
        <x:f>MAX(2,ROUNDUP(G9/'الافتراضات'!F20,0))</x:f>
        <x:v>3</x:v>
      </x:c>
      <x:c r="I9" s="44" t="n">
        <x:f>H9*8</x:f>
        <x:v>24</x:v>
      </x:c>
      <x:c r="J9" s="46" t="n">
        <x:f>G9*'الافتراضات'!D20/B9</x:f>
        <x:v>76</x:v>
      </x:c>
      <x:c r="K9" s="48" t="n">
        <x:f>(((H9*'الافتراضات'!H20)+IF(B9=30,'الافتراضات'!$B$11,'الافتراضات'!$B$12)+(H9*'الافتراضات'!I20)+((H9*'الافتراضات'!H20)*'الافتراضات'!$B$9)+((H9*'الافتراضات'!H20)*'الافتراضات'!$B$10))*(1+'الافتراضات'!$B$8))/1000000</x:f>
        <x:v>3.5290624999999993</x:v>
      </x:c>
      <x:c r="L9" s="44" t="n">
        <x:f>H9+1</x:f>
        <x:v>4</x:v>
      </x:c>
      <x:c r="M9" s="48" t="n">
        <x:f>(((L9*'الافتراضات'!H20)+IF(B9=30,'الافتراضات'!$B$11,'الافتراضات'!$B$12)+(L9*'الافتراضات'!I20)+((L9*'الافتراضات'!H20)*'الافتراضات'!$B$9)+((L9*'الافتراضات'!H20)*'الافتراضات'!$B$10))*(1+'الافتراضات'!$B$8))/1000000</x:f>
        <x:v>4.45625</x:v>
      </x:c>
      <x:c r="N9" s="31" t="str">
        <x:v>أفضل خيار متوازن لـ30 مستخدماً: أقوى في repo reasoning وfrontend والـvision من A3B؛ فرق السعر مبرر لفرق الجودة.</x:v>
      </x:c>
    </x:row>
    <x:row r="10" ht="58" customHeight="1">
      <x:c r="A10" s="43" t="str">
        <x:v>S05</x:v>
      </x:c>
      <x:c r="B10" s="43" t="n">
        <x:v>50</x:v>
      </x:c>
      <x:c r="C10" s="43" t="str">
        <x:v>Qwen3-Coder-Next</x:v>
      </x:c>
      <x:c r="D10" s="43" t="str">
        <x:v>Coding متخصص</x:v>
      </x:c>
      <x:c r="E10" s="43" t="str">
        <x:f>'الافتراضات'!G19</x:f>
        <x:v>RTX PRO 6000 8-GPU</x:v>
      </x:c>
      <x:c r="F10" s="43" t="n">
        <x:f>B10*'الافتراضات'!$B$6</x:f>
        <x:v>3750</x:v>
      </x:c>
      <x:c r="G10" s="43" t="n">
        <x:f>ROUNDUP(F10/'الافتراضات'!D19,0)</x:f>
        <x:v>18</x:v>
      </x:c>
      <x:c r="H10" s="43" t="n">
        <x:f>MAX(2,ROUNDUP(G10/'الافتراضات'!F19,0))</x:f>
        <x:v>3</x:v>
      </x:c>
      <x:c r="I10" s="43" t="n">
        <x:f>H10*8</x:f>
        <x:v>24</x:v>
      </x:c>
      <x:c r="J10" s="45" t="n">
        <x:f>G10*'الافتراضات'!D19/B10</x:f>
        <x:v>75.6</x:v>
      </x:c>
      <x:c r="K10" s="47" t="n">
        <x:f>(((H10*'الافتراضات'!H19)+IF(B10=30,'الافتراضات'!$B$11,'الافتراضات'!$B$12)+(H10*'الافتراضات'!I19)+((H10*'الافتراضات'!H19)*'الافتراضات'!$B$9)+((H10*'الافتراضات'!H19)*'الافتراضات'!$B$10))*(1+'الافتراضات'!$B$8))/1000000</x:f>
        <x:v>3.7590624999999998</x:v>
      </x:c>
      <x:c r="L10" s="43" t="n">
        <x:f>H10+1</x:f>
        <x:v>4</x:v>
      </x:c>
      <x:c r="M10" s="47" t="n">
        <x:f>(((L10*'الافتراضات'!H19)+IF(B10=30,'الافتراضات'!$B$11,'الافتراضات'!$B$12)+(L10*'الافتراضات'!I19)+((L10*'الافتراضات'!H19)*'الافتراضات'!$B$9)+((L10*'الافتراضات'!H19)*'الافتراضات'!$B$10))*(1+'الافتراضات'!$B$8))/1000000</x:f>
        <x:v>4.68625</x:v>
      </x:c>
      <x:c r="N10" s="24" t="str">
        <x:v>أفضل Coding text-only لخمسين مستخدماً ضمن ~4M؛ يحتاج POC صارم للـtool template.</x:v>
      </x:c>
    </x:row>
    <x:row r="11" ht="58" customHeight="1">
      <x:c r="A11" s="44" t="str">
        <x:v>S06</x:v>
      </x:c>
      <x:c r="B11" s="44" t="n">
        <x:v>50</x:v>
      </x:c>
      <x:c r="C11" s="44" t="str">
        <x:v>Qwen3.6-27B</x:v>
      </x:c>
      <x:c r="D11" s="44" t="str">
        <x:v>احترافي compact</x:v>
      </x:c>
      <x:c r="E11" s="44" t="str">
        <x:f>'الافتراضات'!G20</x:f>
        <x:v>RTX PRO 6000 8-GPU</x:v>
      </x:c>
      <x:c r="F11" s="44" t="n">
        <x:f>B11*'الافتراضات'!$B$6</x:f>
        <x:v>3750</x:v>
      </x:c>
      <x:c r="G11" s="44" t="n">
        <x:f>ROUNDUP(F11/'الافتراضات'!D20,0)</x:f>
        <x:v>32</x:v>
      </x:c>
      <x:c r="H11" s="44" t="n">
        <x:f>MAX(2,ROUNDUP(G11/'الافتراضات'!F20,0))</x:f>
        <x:v>4</x:v>
      </x:c>
      <x:c r="I11" s="44" t="n">
        <x:f>H11*8</x:f>
        <x:v>32</x:v>
      </x:c>
      <x:c r="J11" s="46" t="n">
        <x:f>G11*'الافتراضات'!D20/B11</x:f>
        <x:v>76.8</x:v>
      </x:c>
      <x:c r="K11" s="48" t="n">
        <x:f>(((H11*'الافتراضات'!H20)+IF(B11=30,'الافتراضات'!$B$11,'الافتراضات'!$B$12)+(H11*'الافتراضات'!I20)+((H11*'الافتراضات'!H20)*'الافتراضات'!$B$9)+((H11*'الافتراضات'!H20)*'الافتراضات'!$B$10))*(1+'الافتراضات'!$B$8))/1000000</x:f>
        <x:v>4.68625</x:v>
      </x:c>
      <x:c r="L11" s="44" t="n">
        <x:f>H11+1</x:f>
        <x:v>5</x:v>
      </x:c>
      <x:c r="M11" s="48" t="n">
        <x:f>(((L11*'الافتراضات'!H20)+IF(B11=30,'الافتراضات'!$B$11,'الافتراضات'!$B$12)+(L11*'الافتراضات'!I20)+((L11*'الافتراضات'!H20)*'الافتراضات'!$B$9)+((L11*'الافتراضات'!H20)*'الافتراضات'!$B$10))*(1+'الافتراضات'!$B$8))/1000000</x:f>
        <x:v>5.6134375</x:v>
      </x:c>
      <x:c r="N11" s="31" t="str">
        <x:v>يستحق للشركات التي تحتاج frontend/vision/repo work للجميع؛ أعلى جودة compact مع CAPEX دون 5M.</x:v>
      </x:c>
    </x:row>
    <x:row r="12" ht="58" customHeight="1">
      <x:c r="A12" s="43" t="str">
        <x:v>S07</x:v>
      </x:c>
      <x:c r="B12" s="43" t="n">
        <x:v>30</x:v>
      </x:c>
      <x:c r="C12" s="43" t="str">
        <x:v>MiniMax M2.7</x:v>
      </x:c>
      <x:c r="D12" s="43" t="str">
        <x:v>Premium agentic</x:v>
      </x:c>
      <x:c r="E12" s="43" t="str">
        <x:f>'الافتراضات'!G21</x:f>
        <x:v>HGX/DGX B200 8-GPU</x:v>
      </x:c>
      <x:c r="F12" s="43" t="n">
        <x:f>B12*'الافتراضات'!$B$6</x:f>
        <x:v>2250</x:v>
      </x:c>
      <x:c r="G12" s="43" t="n">
        <x:f>ROUNDUP(F12/'الافتراضات'!D21,0)</x:f>
        <x:v>11</x:v>
      </x:c>
      <x:c r="H12" s="43" t="n">
        <x:f>MAX(2,ROUNDUP(G12/'الافتراضات'!F21,0))</x:f>
        <x:v>2</x:v>
      </x:c>
      <x:c r="I12" s="43" t="n">
        <x:f>H12*8</x:f>
        <x:v>16</x:v>
      </x:c>
      <x:c r="J12" s="45" t="n">
        <x:f>G12*'الافتراضات'!D21/B12</x:f>
        <x:v>77</x:v>
      </x:c>
      <x:c r="K12" s="47" t="n">
        <x:f>(((H12*'الافتراضات'!H21)+IF(B12=30,'الافتراضات'!$B$11,'الافتراضات'!$B$12)+(H12*'الافتراضات'!I21)+((H12*'الافتراضات'!H21)*'الافتراضات'!$B$9)+((H12*'الافتراضات'!H21)*'الافتراضات'!$B$10))*(1+'الافتراضات'!$B$8))/1000000</x:f>
        <x:v>5.22008</x:v>
      </x:c>
      <x:c r="L12" s="43" t="n">
        <x:f>H12+1</x:f>
        <x:v>3</x:v>
      </x:c>
      <x:c r="M12" s="47" t="n">
        <x:f>(((L12*'الافتراضات'!H21)+IF(B12=30,'الافتراضات'!$B$11,'الافتراضات'!$B$12)+(L12*'الافتراضات'!I21)+((L12*'الافتراضات'!H21)*'الافتراضات'!$B$9)+((L12*'الافتراضات'!H21)*'الافتراضات'!$B$10))*(1+'الافتراضات'!$B$8))/1000000</x:f>
        <x:v>7.456369999999999</x:v>
      </x:c>
      <x:c r="N12" s="24" t="str">
        <x:v>ترقية واضحة للـmulti-agent، debugging، SRE وOffice workflows؛ تستحق إذا نجاح المهمة أهم من أقل CAPEX.</x:v>
      </x:c>
    </x:row>
    <x:row r="13" ht="58" customHeight="1">
      <x:c r="A13" s="44" t="str">
        <x:v>S08</x:v>
      </x:c>
      <x:c r="B13" s="44" t="n">
        <x:v>30</x:v>
      </x:c>
      <x:c r="C13" s="44" t="str">
        <x:v>DeepSeek V4 Flash</x:v>
      </x:c>
      <x:c r="D13" s="44" t="str">
        <x:v>Premium جديد</x:v>
      </x:c>
      <x:c r="E13" s="44" t="str">
        <x:f>'الافتراضات'!G22</x:f>
        <x:v>HGX/DGX B200 8-GPU</x:v>
      </x:c>
      <x:c r="F13" s="44" t="n">
        <x:f>B13*'الافتراضات'!$B$6</x:f>
        <x:v>2250</x:v>
      </x:c>
      <x:c r="G13" s="44" t="n">
        <x:f>ROUNDUP(F13/'الافتراضات'!D22,0)</x:f>
        <x:v>9</x:v>
      </x:c>
      <x:c r="H13" s="44" t="n">
        <x:f>MAX(2,ROUNDUP(G13/'الافتراضات'!F22,0))</x:f>
        <x:v>3</x:v>
      </x:c>
      <x:c r="I13" s="44" t="n">
        <x:f>H13*8</x:f>
        <x:v>24</x:v>
      </x:c>
      <x:c r="J13" s="46" t="n">
        <x:f>G13*'الافتراضات'!D22/B13</x:f>
        <x:v>81</x:v>
      </x:c>
      <x:c r="K13" s="48" t="n">
        <x:f>(((H13*'الافتراضات'!H22)+IF(B13=30,'الافتراضات'!$B$11,'الافتراضات'!$B$12)+(H13*'الافتراضات'!I22)+((H13*'الافتراضات'!H22)*'الافتراضات'!$B$9)+((H13*'الافتراضات'!H22)*'الافتراضات'!$B$10))*(1+'الافتراضات'!$B$8))/1000000</x:f>
        <x:v>7.456369999999999</x:v>
      </x:c>
      <x:c r="L13" s="44" t="n">
        <x:f>H13+1</x:f>
        <x:v>4</x:v>
      </x:c>
      <x:c r="M13" s="48" t="n">
        <x:f>(((L13*'الافتراضات'!H22)+IF(B13=30,'الافتراضات'!$B$11,'الافتراضات'!$B$12)+(L13*'الافتراضات'!I22)+((L13*'الافتراضات'!H22)*'الافتراضات'!$B$9)+((L13*'الافتراضات'!H22)*'الافتراضات'!$B$10))*(1+'الافتراضات'!$B$8))/1000000</x:f>
        <x:v>9.69266</x:v>
      </x:c>
      <x:c r="N13" s="31" t="str">
        <x:v>لا يعتمد شراءً الآن قبل POC: دعم llama.cpp حديث جداً ومشكلات multi-turn/قوالب أدوات ما زالت قيد النضج.</x:v>
      </x:c>
    </x:row>
    <x:row r="14" ht="58" customHeight="1">
      <x:c r="A14" s="43" t="str">
        <x:v>S09</x:v>
      </x:c>
      <x:c r="B14" s="43" t="n">
        <x:v>50</x:v>
      </x:c>
      <x:c r="C14" s="43" t="str">
        <x:v>MiniMax M2.7</x:v>
      </x:c>
      <x:c r="D14" s="43" t="str">
        <x:v>Premium agentic</x:v>
      </x:c>
      <x:c r="E14" s="43" t="str">
        <x:f>'الافتراضات'!G21</x:f>
        <x:v>HGX/DGX B200 8-GPU</x:v>
      </x:c>
      <x:c r="F14" s="43" t="n">
        <x:f>B14*'الافتراضات'!$B$6</x:f>
        <x:v>3750</x:v>
      </x:c>
      <x:c r="G14" s="43" t="n">
        <x:f>ROUNDUP(F14/'الافتراضات'!D21,0)</x:f>
        <x:v>18</x:v>
      </x:c>
      <x:c r="H14" s="43" t="n">
        <x:f>MAX(2,ROUNDUP(G14/'الافتراضات'!F21,0))</x:f>
        <x:v>3</x:v>
      </x:c>
      <x:c r="I14" s="43" t="n">
        <x:f>H14*8</x:f>
        <x:v>24</x:v>
      </x:c>
      <x:c r="J14" s="45" t="n">
        <x:f>G14*'الافتراضات'!D21/B14</x:f>
        <x:v>75.6</x:v>
      </x:c>
      <x:c r="K14" s="47" t="n">
        <x:f>(((H14*'الافتراضات'!H21)+IF(B14=30,'الافتراضات'!$B$11,'الافتراضات'!$B$12)+(H14*'الافتراضات'!I21)+((H14*'الافتراضات'!H21)*'الافتراضات'!$B$9)+((H14*'الافتراضات'!H21)*'الافتراضات'!$B$10))*(1+'الافتراضات'!$B$8))/1000000</x:f>
        <x:v>7.686369999999999</x:v>
      </x:c>
      <x:c r="L14" s="43" t="n">
        <x:f>H14+1</x:f>
        <x:v>4</x:v>
      </x:c>
      <x:c r="M14" s="47" t="n">
        <x:f>(((L14*'الافتراضات'!H21)+IF(B14=30,'الافتراضات'!$B$11,'الافتراضات'!$B$12)+(L14*'الافتراضات'!I21)+((L14*'الافتراضات'!H21)*'الافتراضات'!$B$9)+((L14*'الافتراضات'!H21)*'الافتراضات'!$B$10))*(1+'الافتراضات'!$B$8))/1000000</x:f>
        <x:v>9.92266</x:v>
      </x:c>
      <x:c r="N14" s="24" t="str">
        <x:v>مناسب لمؤسسة كبيرة تريد 50 agent قوياً؛ السعر مبرر فقط إذا خفض الأخطاء/إعادة المحاولة مثبت في POC.</x:v>
      </x:c>
    </x:row>
    <x:row r="15" ht="58" customHeight="1">
      <x:c r="A15" s="44" t="str">
        <x:v>S10</x:v>
      </x:c>
      <x:c r="B15" s="44" t="n">
        <x:v>50</x:v>
      </x:c>
      <x:c r="C15" s="44" t="str">
        <x:v>DeepSeek V4 Flash</x:v>
      </x:c>
      <x:c r="D15" s="44" t="str">
        <x:v>Premium جديد</x:v>
      </x:c>
      <x:c r="E15" s="44" t="str">
        <x:f>'الافتراضات'!G22</x:f>
        <x:v>HGX/DGX B200 8-GPU</x:v>
      </x:c>
      <x:c r="F15" s="44" t="n">
        <x:f>B15*'الافتراضات'!$B$6</x:f>
        <x:v>3750</x:v>
      </x:c>
      <x:c r="G15" s="44" t="n">
        <x:f>ROUNDUP(F15/'الافتراضات'!D22,0)</x:f>
        <x:v>14</x:v>
      </x:c>
      <x:c r="H15" s="44" t="n">
        <x:f>MAX(2,ROUNDUP(G15/'الافتراضات'!F22,0))</x:f>
        <x:v>4</x:v>
      </x:c>
      <x:c r="I15" s="44" t="n">
        <x:f>H15*8</x:f>
        <x:v>32</x:v>
      </x:c>
      <x:c r="J15" s="46" t="n">
        <x:f>G15*'الافتراضات'!D22/B15</x:f>
        <x:v>75.6</x:v>
      </x:c>
      <x:c r="K15" s="48" t="n">
        <x:f>(((H15*'الافتراضات'!H22)+IF(B15=30,'الافتراضات'!$B$11,'الافتراضات'!$B$12)+(H15*'الافتراضات'!I22)+((H15*'الافتراضات'!H22)*'الافتراضات'!$B$9)+((H15*'الافتراضات'!H22)*'الافتراضات'!$B$10))*(1+'الافتراضات'!$B$8))/1000000</x:f>
        <x:v>9.92266</x:v>
      </x:c>
      <x:c r="L15" s="44" t="n">
        <x:f>H15+1</x:f>
        <x:v>5</x:v>
      </x:c>
      <x:c r="M15" s="48" t="n">
        <x:f>(((L15*'الافتراضات'!H22)+IF(B15=30,'الافتراضات'!$B$11,'الافتراضات'!$B$12)+(L15*'الافتراضات'!I22)+((L15*'الافتراضات'!H22)*'الافتراضات'!$B$9)+((L15*'الافتراضات'!H22)*'الافتراضات'!$B$10))*(1+'الافتراضات'!$B$8))/1000000</x:f>
        <x:v>12.158949999999997</x:v>
      </x:c>
      <x:c r="N15" s="31" t="str">
        <x:v>Pilot استراتيجي لا Baseline تعاقدي؛ اشترِ بعد تحقق throughput والاستقرار على build مثبت.</x:v>
      </x:c>
    </x:row>
    <x:row r="16" ht="58" customHeight="1">
      <x:c r="A16" s="43" t="str">
        <x:v>S11</x:v>
      </x:c>
      <x:c r="B16" s="43" t="n">
        <x:v>30</x:v>
      </x:c>
      <x:c r="C16" s="43" t="str">
        <x:v>GLM-5.2</x:v>
      </x:c>
      <x:c r="D16" s="43" t="str">
        <x:v>Frontier local</x:v>
      </x:c>
      <x:c r="E16" s="43" t="str">
        <x:f>'الافتراضات'!G23</x:f>
        <x:v>HGX/DGX B200 8-GPU</x:v>
      </x:c>
      <x:c r="F16" s="43" t="n">
        <x:f>B16*'الافتراضات'!$B$6</x:f>
        <x:v>2250</x:v>
      </x:c>
      <x:c r="G16" s="43" t="n">
        <x:f>ROUNDUP(F16/'الافتراضات'!D23,0)</x:f>
        <x:v>12</x:v>
      </x:c>
      <x:c r="H16" s="43" t="n">
        <x:f>MAX(2,ROUNDUP(G16/'الافتراضات'!F23,0))</x:f>
        <x:v>6</x:v>
      </x:c>
      <x:c r="I16" s="43" t="n">
        <x:f>H16*8</x:f>
        <x:v>48</x:v>
      </x:c>
      <x:c r="J16" s="45" t="n">
        <x:f>G16*'الافتراضات'!D23/B16</x:f>
        <x:v>78</x:v>
      </x:c>
      <x:c r="K16" s="47" t="n">
        <x:f>(((H16*'الافتراضات'!H23)+IF(B16=30,'الافتراضات'!$B$11,'الافتراضات'!$B$12)+(H16*'الافتراضات'!I23)+((H16*'الافتراضات'!H23)*'الافتراضات'!$B$9)+((H16*'الافتراضات'!H23)*'الافتراضات'!$B$10))*(1+'الافتراضات'!$B$8))/1000000</x:f>
        <x:v>14.165239999999999</x:v>
      </x:c>
      <x:c r="L16" s="43" t="n">
        <x:f>H16+1</x:f>
        <x:v>7</x:v>
      </x:c>
      <x:c r="M16" s="47" t="n">
        <x:f>(((L16*'الافتراضات'!H23)+IF(B16=30,'الافتراضات'!$B$11,'الافتراضات'!$B$12)+(L16*'الافتراضات'!I23)+((L16*'الافتراضات'!H23)*'الافتراضات'!$B$9)+((L16*'الافتراضات'!H23)*'الافتراضات'!$B$10))*(1+'الافتراضات'!$B$8))/1000000</x:f>
        <x:v>16.401529999999998</x:v>
      </x:c>
      <x:c r="N16" s="24" t="str">
        <x:v>أقوى مسار agentic/coding في القائمة؛ لا يستحق اقتصادياً إلا للمهام عالية القيمة جداً وميزانية &gt;14M.</x:v>
      </x:c>
    </x:row>
    <x:row r="17" ht="58" customHeight="1">
      <x:c r="A17" s="44" t="str">
        <x:v>S12</x:v>
      </x:c>
      <x:c r="B17" s="44" t="n">
        <x:v>30</x:v>
      </x:c>
      <x:c r="C17" s="44" t="str">
        <x:v>Kimi K2.7-Code</x:v>
      </x:c>
      <x:c r="D17" s="44" t="str">
        <x:v>Frontier multimodal</x:v>
      </x:c>
      <x:c r="E17" s="44" t="str">
        <x:f>'الافتراضات'!G24</x:f>
        <x:v>HGX/DGX B200 8-GPU</x:v>
      </x:c>
      <x:c r="F17" s="44" t="n">
        <x:f>B17*'الافتراضات'!$B$6</x:f>
        <x:v>2250</x:v>
      </x:c>
      <x:c r="G17" s="44" t="n">
        <x:f>ROUNDUP(F17/'الافتراضات'!D24,0)</x:f>
        <x:v>14</x:v>
      </x:c>
      <x:c r="H17" s="44" t="n">
        <x:f>MAX(2,ROUNDUP(G17/'الافتراضات'!F24,0))</x:f>
        <x:v>7</x:v>
      </x:c>
      <x:c r="I17" s="44" t="n">
        <x:f>H17*8</x:f>
        <x:v>56</x:v>
      </x:c>
      <x:c r="J17" s="46" t="n">
        <x:f>G17*'الافتراضات'!D24/B17</x:f>
        <x:v>80.5</x:v>
      </x:c>
      <x:c r="K17" s="48" t="n">
        <x:f>(((H17*'الافتراضات'!H24)+IF(B17=30,'الافتراضات'!$B$11,'الافتراضات'!$B$12)+(H17*'الافتراضات'!I24)+((H17*'الافتراضات'!H24)*'الافتراضات'!$B$9)+((H17*'الافتراضات'!H24)*'الافتراضات'!$B$10))*(1+'الافتراضات'!$B$8))/1000000</x:f>
        <x:v>16.401529999999998</x:v>
      </x:c>
      <x:c r="L17" s="44" t="n">
        <x:f>H17+1</x:f>
        <x:v>8</x:v>
      </x:c>
      <x:c r="M17" s="48" t="n">
        <x:f>(((L17*'الافتراضات'!H24)+IF(B17=30,'الافتراضات'!$B$11,'الافتراضات'!$B$12)+(L17*'الافتراضات'!I24)+((L17*'الافتراضات'!H24)*'الافتراضات'!$B$9)+((L17*'الافتراضات'!H24)*'الافتراضات'!$B$10))*(1+'الافتراضات'!$B$8))/1000000</x:f>
        <x:v>18.63782</x:v>
      </x:c>
      <x:c r="N17" s="31" t="str">
        <x:v>قوي في long-horizon + tools + vision، لكن GGUF مجتمعي ورخصة Modified MIT؛ يحتاج مراجعة قانونية وPOC.</x:v>
      </x:c>
    </x:row>
    <x:row r="18" ht="58" customHeight="1">
      <x:c r="A18" s="43" t="str">
        <x:v>S13</x:v>
      </x:c>
      <x:c r="B18" s="43" t="n">
        <x:v>50</x:v>
      </x:c>
      <x:c r="C18" s="43" t="str">
        <x:v>GLM-5.2</x:v>
      </x:c>
      <x:c r="D18" s="43" t="str">
        <x:v>Frontier local</x:v>
      </x:c>
      <x:c r="E18" s="43" t="str">
        <x:f>'الافتراضات'!G23</x:f>
        <x:v>HGX/DGX B200 8-GPU</x:v>
      </x:c>
      <x:c r="F18" s="43" t="n">
        <x:f>B18*'الافتراضات'!$B$6</x:f>
        <x:v>3750</x:v>
      </x:c>
      <x:c r="G18" s="43" t="n">
        <x:f>ROUNDUP(F18/'الافتراضات'!D23,0)</x:f>
        <x:v>20</x:v>
      </x:c>
      <x:c r="H18" s="43" t="n">
        <x:f>MAX(2,ROUNDUP(G18/'الافتراضات'!F23,0))</x:f>
        <x:v>10</x:v>
      </x:c>
      <x:c r="I18" s="43" t="n">
        <x:f>H18*8</x:f>
        <x:v>80</x:v>
      </x:c>
      <x:c r="J18" s="45" t="n">
        <x:f>G18*'الافتراضات'!D23/B18</x:f>
        <x:v>78</x:v>
      </x:c>
      <x:c r="K18" s="47" t="n">
        <x:f>(((H18*'الافتراضات'!H23)+IF(B18=30,'الافتراضات'!$B$11,'الافتراضات'!$B$12)+(H18*'الافتراضات'!I23)+((H18*'الافتراضات'!H23)*'الافتراضات'!$B$9)+((H18*'الافتراضات'!H23)*'الافتراضات'!$B$10))*(1+'الافتراضات'!$B$8))/1000000</x:f>
        <x:v>23.3404</x:v>
      </x:c>
      <x:c r="L18" s="43" t="n">
        <x:f>H18+1</x:f>
        <x:v>11</x:v>
      </x:c>
      <x:c r="M18" s="47" t="n">
        <x:f>(((L18*'الافتراضات'!H23)+IF(B18=30,'الافتراضات'!$B$11,'الافتراضات'!$B$12)+(L18*'الافتراضات'!I23)+((L18*'الافتراضات'!H23)*'الافتراضات'!$B$9)+((L18*'الافتراضات'!H23)*'الافتراضات'!$B$10))*(1+'الافتراضات'!$B$8))/1000000</x:f>
        <x:v>25.576689999999996</x:v>
      </x:c>
      <x:c r="N18" s="24" t="str">
        <x:v>سعة Frontier لخمسين مستخدماً؛ غالباً غير مبررة مقارنة بتوجيه 10–20% فقط إلى Deep Lane.</x:v>
      </x:c>
    </x:row>
    <x:row r="19" ht="58" customHeight="1">
      <x:c r="A19" s="44" t="str">
        <x:v>S14</x:v>
      </x:c>
      <x:c r="B19" s="44" t="n">
        <x:v>50</x:v>
      </x:c>
      <x:c r="C19" s="44" t="str">
        <x:v>Kimi K2.7-Code</x:v>
      </x:c>
      <x:c r="D19" s="44" t="str">
        <x:v>Frontier multimodal</x:v>
      </x:c>
      <x:c r="E19" s="44" t="str">
        <x:f>'الافتراضات'!G24</x:f>
        <x:v>HGX/DGX B200 8-GPU</x:v>
      </x:c>
      <x:c r="F19" s="44" t="n">
        <x:f>B19*'الافتراضات'!$B$6</x:f>
        <x:v>3750</x:v>
      </x:c>
      <x:c r="G19" s="44" t="n">
        <x:f>ROUNDUP(F19/'الافتراضات'!D24,0)</x:f>
        <x:v>22</x:v>
      </x:c>
      <x:c r="H19" s="44" t="n">
        <x:f>MAX(2,ROUNDUP(G19/'الافتراضات'!F24,0))</x:f>
        <x:v>11</x:v>
      </x:c>
      <x:c r="I19" s="44" t="n">
        <x:f>H19*8</x:f>
        <x:v>88</x:v>
      </x:c>
      <x:c r="J19" s="46" t="n">
        <x:f>G19*'الافتراضات'!D24/B19</x:f>
        <x:v>75.9</x:v>
      </x:c>
      <x:c r="K19" s="48" t="n">
        <x:f>(((H19*'الافتراضات'!H24)+IF(B19=30,'الافتراضات'!$B$11,'الافتراضات'!$B$12)+(H19*'الافتراضات'!I24)+((H19*'الافتراضات'!H24)*'الافتراضات'!$B$9)+((H19*'الافتراضات'!H24)*'الافتراضات'!$B$10))*(1+'الافتراضات'!$B$8))/1000000</x:f>
        <x:v>25.576689999999996</x:v>
      </x:c>
      <x:c r="L19" s="44" t="n">
        <x:f>H19+1</x:f>
        <x:v>12</x:v>
      </x:c>
      <x:c r="M19" s="48" t="n">
        <x:f>(((L19*'الافتراضات'!H24)+IF(B19=30,'الافتراضات'!$B$11,'الافتراضات'!$B$12)+(L19*'الافتراضات'!I24)+((L19*'الافتراضات'!H24)*'الافتراضات'!$B$9)+((L19*'الافتراضات'!H24)*'الافتراضات'!$B$10))*(1+'الافتراضات'!$B$8))/1000000</x:f>
        <x:v>27.812979999999996</x:v>
      </x:c>
      <x:c r="N19" s="31" t="str">
        <x:v>خيار استراتيجي مرتفع جداً؛ الأفضل Hybrid routing بدل تشغيله لكل طلب.</x:v>
      </x:c>
    </x:row>
  </x:sheetData>
  <x:mergeCells>
    <x:mergeCell ref="A1:N1"/>
    <x:mergeCell ref="A2:N2"/>
    <x:mergeCell ref="A4:N4"/>
  </x:mergeCells>
  <x:conditionalFormatting sqref="J6:J19">
    <x:cfRule type="cellIs" dxfId="0" priority="1" operator="greaterThanOrEqual">
      <x:formula>75</x:formula>
    </x:cfRule>
  </x:conditionalFormatting>
  <x:conditionalFormatting sqref="K6:K19">
    <x:cfRule type="colorScale" priority="2">
      <x:colorScale>
        <x:cfvo type="min"/>
        <x:cfvo type="percentile" val="50"/>
        <x:cfvo type="max"/>
        <x:color rgb="FFEAF6ED"/>
        <x:color rgb="FFFFF4E5"/>
        <x:color rgb="FFFDECEC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9" hidden="0" customWidth="1"/>
    <x:col min="5" max="5" width="34" hidden="0" customWidth="1"/>
    <x:col min="6" max="6" width="31" hidden="0" customWidth="1"/>
    <x:col min="7" max="7" width="30" hidden="0" customWidth="1"/>
    <x:col min="8" max="8" width="22" hidden="0" customWidth="1"/>
    <x:col min="9" max="9" width="15" hidden="0" customWidth="1"/>
    <x:col min="10" max="10" width="31" hidden="0" customWidth="1"/>
  </x:cols>
  <x:sheetData>
    <x:row r="1" ht="38" customHeight="1">
      <x:c r="A1" s="4" t="str">
        <x:v>أحدث النماذج المحلية للـAgentic + Coding — حالة 13 يوليو 2026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9" t="str">
        <x:v>لا تخلط بين Benchmarks مختلفة. القرار يجمع جودة agentic/coding، نضج llama.cpp، حجم GGUF، الرخصة والتكلفة، وليس رقماً تسويقياً واحداً.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5" customHeight="1">
      <x:c r="A4" s="13" t="str">
        <x:v>كتالوج النماذج</x:v>
      </x:c>
      <x:c r="B4" s="13"/>
      <x:c r="C4" s="13"/>
      <x:c r="D4" s="13"/>
      <x:c r="E4" s="13"/>
      <x:c r="F4" s="13"/>
      <x:c r="G4" s="13"/>
      <x:c r="H4" s="13"/>
      <x:c r="I4" s="13"/>
      <x:c r="J4" s="13"/>
    </x:row>
    <x:row r="5" ht="38" customHeight="1">
      <x:c r="A5" s="19" t="str">
        <x:v>الموديل</x:v>
      </x:c>
      <x:c r="B5" s="19" t="str">
        <x:v>الإصدار</x:v>
      </x:c>
      <x:c r="C5" s="19" t="str">
        <x:v>الحجم/Active</x:v>
      </x:c>
      <x:c r="D5" s="19" t="str">
        <x:v>السياق/الوسائط</x:v>
      </x:c>
      <x:c r="E5" s="19" t="str">
        <x:v>دليل Coding + Agentic</x:v>
      </x:c>
      <x:c r="F5" s="19" t="str">
        <x:v>Benchmark رسمي مختصر</x:v>
      </x:c>
      <x:c r="G5" s="19" t="str">
        <x:v>حالة llama.cpp</x:v>
      </x:c>
      <x:c r="H5" s="19" t="str">
        <x:v>GGUF Q4</x:v>
      </x:c>
      <x:c r="I5" s="19" t="str">
        <x:v>الرخصة</x:v>
      </x:c>
      <x:c r="J5" s="19" t="str">
        <x:v>حكم الشراء</x:v>
      </x:c>
    </x:row>
    <x:row r="6" ht="76" customHeight="1">
      <x:c r="A6" s="24" t="str">
        <x:v>Qwen3.6-35B-A3B</x:v>
      </x:c>
      <x:c r="B6" s="24" t="str">
        <x:v>16 أبريل 2026</x:v>
      </x:c>
      <x:c r="C6" s="24" t="str">
        <x:v>35B / 3B active</x:v>
      </x:c>
      <x:c r="D6" s="24" t="str">
        <x:v>262K؛ Vision</x:v>
      </x:c>
      <x:c r="E6" s="24" t="str">
        <x:v>Agentic coding، repo reasoning، tool use؛ الأسرع اقتصادياً</x:v>
      </x:c>
      <x:c r="F6" s="24" t="str">
        <x:v>SWE-Pro 49.5؛ Terminal 51.5</x:v>
      </x:c>
      <x:c r="G6" s="24" t="str">
        <x:v>Mainline + GGUF؛ إنتاجي بعد POC</x:v>
      </x:c>
      <x:c r="H6" s="24" t="str">
        <x:v>22.1 GB Q4_K_M</x:v>
      </x:c>
      <x:c r="I6" s="24" t="str">
        <x:v>Apache-2.0</x:v>
      </x:c>
      <x:c r="J6" s="24" t="str">
        <x:v>أفضل قيمة وسعة؛ مناسب كـdefault route</x:v>
      </x:c>
    </x:row>
    <x:row r="7" ht="76" customHeight="1">
      <x:c r="A7" s="31" t="str">
        <x:v>Qwen3.6-27B</x:v>
      </x:c>
      <x:c r="B7" s="31" t="str">
        <x:v>22 أبريل 2026</x:v>
      </x:c>
      <x:c r="C7" s="31" t="str">
        <x:v>27B dense</x:v>
      </x:c>
      <x:c r="D7" s="31" t="str">
        <x:v>262K→1M؛ Vision</x:v>
      </x:c>
      <x:c r="E7" s="31" t="str">
        <x:v>Agentic coding، frontend، repository-level reasoning، thinking preservation</x:v>
      </x:c>
      <x:c r="F7" s="31" t="str">
        <x:v>SWE-Pro 53.5؛ Terminal 59.3؛ Skills 48.2</x:v>
      </x:c>
      <x:c r="G7" s="31" t="str">
        <x:v>Mainline + GGUF؛ إنتاجي بعد POC</x:v>
      </x:c>
      <x:c r="H7" s="31" t="str">
        <x:v>16.8 GB Q4_K_M</x:v>
      </x:c>
      <x:c r="I7" s="31" t="str">
        <x:v>Apache-2.0</x:v>
      </x:c>
      <x:c r="J7" s="31" t="str">
        <x:v>أفضل compact احترافي؛ route للمهام الأصعب</x:v>
      </x:c>
    </x:row>
    <x:row r="8" ht="76" customHeight="1">
      <x:c r="A8" s="24" t="str">
        <x:v>Qwen3-Coder-Next</x:v>
      </x:c>
      <x:c r="B8" s="24" t="str">
        <x:v>3 فبراير 2026</x:v>
      </x:c>
      <x:c r="C8" s="24" t="str">
        <x:v>80B / 3B active</x:v>
      </x:c>
      <x:c r="D8" s="24" t="str">
        <x:v>262K؛ Text</x:v>
      </x:c>
      <x:c r="E8" s="24" t="str">
        <x:v>مصمم لوكلاء الكود المحليين، long-horizon، tools، recovery</x:v>
      </x:c>
      <x:c r="F8" s="24" t="str">
        <x:v>لا نقارن رقماً مختلف المنهجية؛ الدليل الرسمي agentic</x:v>
      </x:c>
      <x:c r="G8" s="24" t="str">
        <x:v>GGUF رسمي + llama.cpp</x:v>
      </x:c>
      <x:c r="H8" s="24" t="str">
        <x:v>48.4 GB Q4_K_M</x:v>
      </x:c>
      <x:c r="I8" s="24" t="str">
        <x:v>Apache-2.0</x:v>
      </x:c>
      <x:c r="J8" s="24" t="str">
        <x:v>ممتاز Text-only coding؛ بلا Vision/Thinking</x:v>
      </x:c>
    </x:row>
    <x:row r="9" ht="76" customHeight="1">
      <x:c r="A9" s="31" t="str">
        <x:v>MiniMax M2.7</x:v>
      </x:c>
      <x:c r="B9" s="31" t="str">
        <x:v>18 مارس 2026</x:v>
      </x:c>
      <x:c r="C9" s="31" t="str">
        <x:v>229B / 10B active</x:v>
      </x:c>
      <x:c r="D9" s="31" t="str">
        <x:v>Text؛ طويل</x:v>
      </x:c>
      <x:c r="E9" s="31" t="str">
        <x:v>Agent teams، complex harnesses، SRE/debugging، Office workflows</x:v>
      </x:c>
      <x:c r="F9" s="31" t="str">
        <x:v>SWE-Pro 56.22؛ VIBE-Pro 55.6؛ Terminal 57.0</x:v>
      </x:c>
      <x:c r="G9" s="31" t="str">
        <x:v>GGUF + llama.cpp؛ POC إلزامي</x:v>
      </x:c>
      <x:c r="H9" s="31" t="str">
        <x:v>140 GB Q4_K_M</x:v>
      </x:c>
      <x:c r="I9" s="31" t="str">
        <x:v>Modified MIT</x:v>
      </x:c>
      <x:c r="J9" s="31" t="str">
        <x:v>Premium عملي؛ راجع الرخصة وشروط الاستخدام</x:v>
      </x:c>
    </x:row>
    <x:row r="10" ht="76" customHeight="1">
      <x:c r="A10" s="24" t="str">
        <x:v>DeepSeek V4 Flash</x:v>
      </x:c>
      <x:c r="B10" s="24" t="str">
        <x:v>24 أبريل 2026</x:v>
      </x:c>
      <x:c r="C10" s="24" t="str">
        <x:v>284B / 13B active</x:v>
      </x:c>
      <x:c r="D10" s="24" t="str">
        <x:v>1M؛ Text</x:v>
      </x:c>
      <x:c r="E10" s="24" t="str">
        <x:v>Preview MoE حديث؛ جودة متوقعة عالية للـreasoning/coding</x:v>
      </x:c>
      <x:c r="F10" s="24" t="str">
        <x:v>لا يوجد رقم Flash علني موحد مناسب للمقارنة</x:v>
      </x:c>
      <x:c r="G10" s="24" t="str">
        <x:v>Mainline حديث جداً؛ multi-turn يحتاج تحقق</x:v>
      </x:c>
      <x:c r="H10" s="24" t="str">
        <x:v>≈163 GiB Q4_K_M-XL</x:v>
      </x:c>
      <x:c r="I10" s="24" t="str">
        <x:v>MIT</x:v>
      </x:c>
      <x:c r="J10" s="24" t="str">
        <x:v>Pilot فقط حتى تثبيت build وchat template</x:v>
      </x:c>
    </x:row>
    <x:row r="11" ht="76" customHeight="1">
      <x:c r="A11" s="31" t="str">
        <x:v>GLM-5.2</x:v>
      </x:c>
      <x:c r="B11" s="31" t="str">
        <x:v>يونيو 2026</x:v>
      </x:c>
      <x:c r="C11" s="31" t="str">
        <x:v>754B</x:v>
      </x:c>
      <x:c r="D11" s="31" t="str">
        <x:v>1M؛ Text</x:v>
      </x:c>
      <x:c r="E11" s="31" t="str">
        <x:v>Long-horizon agentic engineering، terminal وtool use قوي جداً</x:v>
      </x:c>
      <x:c r="F11" s="31" t="str">
        <x:v>SWE-Pro 62.1؛ Terminal 2.1 = 81.0؛ MCP Atlas 76.8</x:v>
      </x:c>
      <x:c r="G11" s="31" t="str">
        <x:v>GGUF يعمل على llama.cpp؛ POC عتاد كبير</x:v>
      </x:c>
      <x:c r="H11" s="31" t="str">
        <x:v>466 GB Q4_K_M</x:v>
      </x:c>
      <x:c r="I11" s="31" t="str">
        <x:v>MIT</x:v>
      </x:c>
      <x:c r="J11" s="31" t="str">
        <x:v>أقوى خيار procurement-ready نسبياً؛ CAPEX مرتفع</x:v>
      </x:c>
    </x:row>
    <x:row r="12" ht="76" customHeight="1">
      <x:c r="A12" s="24" t="str">
        <x:v>Kimi K2.7-Code</x:v>
      </x:c>
      <x:c r="B12" s="24" t="str">
        <x:v>12 يونيو 2026</x:v>
      </x:c>
      <x:c r="C12" s="24" t="str">
        <x:v>1T / 32B active</x:v>
      </x:c>
      <x:c r="D12" s="24" t="str">
        <x:v>256K؛ Vision</x:v>
      </x:c>
      <x:c r="E12" s="24" t="str">
        <x:v>Coding-focused agent، long-horizon، multi-step tools، thinking محفوظ</x:v>
      </x:c>
      <x:c r="F12" s="24" t="str">
        <x:v>Kimi Code Bench v2 62.0؛ MCP Atlas 76.0؛ MCPMark 81.1</x:v>
      </x:c>
      <x:c r="G12" s="24" t="str">
        <x:v>Browse quantizations؛ GGUF مجتمعي يحتاج تحقق</x:v>
      </x:c>
      <x:c r="H12" s="24" t="str">
        <x:v>≈621 GB Q4 community</x:v>
      </x:c>
      <x:c r="I12" s="24" t="str">
        <x:v>Modified MIT</x:v>
      </x:c>
      <x:c r="J12" s="24" t="str">
        <x:v>Frontier multimodal؛ مراجعة قانونية وPOC</x:v>
      </x:c>
    </x:row>
    <x:row r="13" ht="76" customHeight="1">
      <x:c r="A13" s="31" t="str">
        <x:v>MiniMax M3</x:v>
      </x:c>
      <x:c r="B13" s="31" t="str">
        <x:v>1 يونيو 2026</x:v>
      </x:c>
      <x:c r="C13" s="31" t="str">
        <x:v>≈428B</x:v>
      </x:c>
      <x:c r="D13" s="31" t="str">
        <x:v>1M؛ Native multimodal</x:v>
      </x:c>
      <x:c r="E13" s="31" t="str">
        <x:v>Frontier coding + collaboration + agentic workflows</x:v>
      </x:c>
      <x:c r="F13" s="31" t="str">
        <x:v>SWE-Pro 59.0؛ Terminal 66.0؛ MCP Atlas 74.2</x:v>
      </x:c>
      <x:c r="G13" s="42" t="str">
        <x:v>Experimental PR #24523؛ ليس build رسمياً</x:v>
      </x:c>
      <x:c r="H13" s="42" t="str">
        <x:v>GGUF متاح تجريبياً</x:v>
      </x:c>
      <x:c r="I13" s="42" t="str">
        <x:v>Modified MIT</x:v>
      </x:c>
      <x:c r="J13" s="42" t="str">
        <x:v>Watchlist — لا يدخل عرض شراء الآن</x:v>
      </x:c>
    </x:row>
    <x:row r="14" ht="76" customHeight="1">
      <x:c r="A14" s="24" t="str">
        <x:v>DeepSeek V4 Pro</x:v>
      </x:c>
      <x:c r="B14" s="24" t="str">
        <x:v>24 أبريل 2026</x:v>
      </x:c>
      <x:c r="C14" s="24" t="str">
        <x:v>1.6T / 49B active</x:v>
      </x:c>
      <x:c r="D14" s="24" t="str">
        <x:v>1M؛ Text</x:v>
      </x:c>
      <x:c r="E14" s="24" t="str">
        <x:v>أقوى نسخة V4 للمهام المعقدة</x:v>
      </x:c>
      <x:c r="F14" s="24" t="str">
        <x:v>تظهر مقارنات قوية لكن serving محلي غير ناضج</x:v>
      </x:c>
      <x:c r="G14" s="42" t="str">
        <x:v>حديث/ثقيل جداً؛ تحقق مستقل</x:v>
      </x:c>
      <x:c r="H14" s="42" t="str">
        <x:v>Q4 هائل</x:v>
      </x:c>
      <x:c r="I14" s="42" t="str">
        <x:v>MIT</x:v>
      </x:c>
      <x:c r="J14" s="42" t="str">
        <x:v>Watchlist؛ غير اقتصادي لـ30/50 مستخدماً</x:v>
      </x:c>
    </x:row>
  </x:sheetData>
  <x:mergeCells>
    <x:mergeCell ref="A1:J1"/>
    <x:mergeCell ref="A2:J2"/>
    <x:mergeCell ref="A4:J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22" hidden="0" customWidth="1"/>
    <x:col min="4" max="4" width="9" hidden="0" customWidth="1"/>
    <x:col min="5" max="5" width="10" hidden="0" customWidth="1"/>
    <x:col min="6" max="6" width="13" hidden="0" customWidth="1"/>
    <x:col min="7" max="7" width="11" hidden="0" customWidth="1"/>
    <x:col min="8" max="8" width="11" hidden="0" customWidth="1"/>
    <x:col min="9" max="9" width="10" hidden="0" customWidth="1"/>
    <x:col min="10" max="10" width="24" hidden="0" customWidth="1"/>
    <x:col min="11" max="11" width="38" hidden="0" customWidth="1"/>
  </x:cols>
  <x:sheetData>
    <x:row r="1" ht="38" customHeight="1">
      <x:c r="A1" s="4" t="str">
        <x:v>مكونات البنية المقترحة ومسار النشر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9" t="str">
        <x:v>افتراض وجود غرفة بيانات جاهزة. كل عقد inference تعمل Linux + CUDA + llama.cpp server خلف Router داخلي OpenAI-compatible، مع عزل Agent sandboxes عن طبقة inference.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5" customHeight="1">
      <x:c r="A4" s="13" t="str">
        <x:v>مواصفات العقد القياسية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</x:row>
    <x:row r="5" ht="38" customHeight="1">
      <x:c r="A5" s="19" t="str">
        <x:v>Profile</x:v>
      </x:c>
      <x:c r="B5" s="19" t="str">
        <x:v>GPU</x:v>
      </x:c>
      <x:c r="C5" s="19" t="str">
        <x:v>GPU RAM</x:v>
      </x:c>
      <x:c r="D5" s="19" t="str">
        <x:v>CPU</x:v>
      </x:c>
      <x:c r="E5" s="19" t="str">
        <x:v>RAM</x:v>
      </x:c>
      <x:c r="F5" s="19" t="str">
        <x:v>NVMe</x:v>
      </x:c>
      <x:c r="G5" s="19" t="str">
        <x:v>Network</x:v>
      </x:c>
      <x:c r="H5" s="19" t="str">
        <x:v>Power</x:v>
      </x:c>
      <x:c r="I5" s="19" t="str">
        <x:v>الاستخدام</x:v>
      </x:c>
      <x:c r="J5" s="19" t="str">
        <x:v>سعر مرجعي قبل VAT</x:v>
      </x:c>
      <x:c r="K5" s="19" t="str">
        <x:v>ملاحظة</x:v>
      </x:c>
    </x:row>
    <x:row r="6" ht="64" customHeight="1">
      <x:c r="A6" s="24" t="str">
        <x:v>RTX8</x:v>
      </x:c>
      <x:c r="B6" s="24" t="str">
        <x:v>8× RTX PRO 6000 Blackwell Server Edition</x:v>
      </x:c>
      <x:c r="C6" s="24" t="str">
        <x:v>768 GB GDDR7 ECC</x:v>
      </x:c>
      <x:c r="D6" s="24" t="str">
        <x:v>2× AMD EPYC / Xeon؛ 64–96 cores</x:v>
      </x:c>
      <x:c r="E6" s="24" t="str">
        <x:v>1–2 TB ECC</x:v>
      </x:c>
      <x:c r="F6" s="24" t="str">
        <x:v>4–8×7.68TB</x:v>
      </x:c>
      <x:c r="G6" s="24" t="str">
        <x:v>2×100GbE</x:v>
      </x:c>
      <x:c r="H6" s="24" t="str">
        <x:v>≈7 kW</x:v>
      </x:c>
      <x:c r="I6" s="24" t="str">
        <x:v>Qwen compact / high-throughput</x:v>
      </x:c>
      <x:c r="J6" s="37" t="n">
        <x:v>562500</x:v>
      </x:c>
      <x:c r="K6" s="24" t="str">
        <x:v>مرجع HPE 8-GPU ≈US$150K؛ احصل على عرض محلي</x:v>
      </x:c>
    </x:row>
    <x:row r="7" ht="64" customHeight="1">
      <x:c r="A7" s="31" t="str">
        <x:v>B200-8</x:v>
      </x:c>
      <x:c r="B7" s="31" t="str">
        <x:v>8× NVIDIA B200 SXM</x:v>
      </x:c>
      <x:c r="C7" s="31" t="str">
        <x:v>1.44 TB HBM3e</x:v>
      </x:c>
      <x:c r="D7" s="31" t="str">
        <x:v>Dual x86 server class</x:v>
      </x:c>
      <x:c r="E7" s="31" t="str">
        <x:v>2–3 TB ECC</x:v>
      </x:c>
      <x:c r="F7" s="31" t="str">
        <x:v>≥30TB usable</x:v>
      </x:c>
      <x:c r="G7" s="31" t="str">
        <x:v>2×200/400GbE</x:v>
      </x:c>
      <x:c r="H7" s="31" t="str">
        <x:v>≈14.3 kW</x:v>
      </x:c>
      <x:c r="I7" s="31" t="str">
        <x:v>MiniMax/DeepSeek/GLM/Kimi</x:v>
      </x:c>
      <x:c r="J7" s="41" t="n">
        <x:v>1430000</x:v>
      </x:c>
      <x:c r="K7" s="31" t="str">
        <x:v>مرجع GSA US$381,251.25؛ شبكة NVLink داخل العقدة</x:v>
      </x:c>
    </x:row>
    <x:row r="8" ht="64" customHeight="1">
      <x:c r="A8" s="24" t="str">
        <x:v>B300-8 Watch</x:v>
      </x:c>
      <x:c r="B8" s="24" t="str">
        <x:v>8× NVIDIA B300</x:v>
      </x:c>
      <x:c r="C8" s="24" t="str">
        <x:v>2.30 TB HBM3e</x:v>
      </x:c>
      <x:c r="D8" s="24" t="str">
        <x:v>Dual x86 / HGX</x:v>
      </x:c>
      <x:c r="E8" s="24" t="str">
        <x:v>≥3 TB ECC</x:v>
      </x:c>
      <x:c r="F8" s="24" t="str">
        <x:v>≥30TB usable</x:v>
      </x:c>
      <x:c r="G8" s="24" t="str">
        <x:v>800Gb/s per GPU fabric</x:v>
      </x:c>
      <x:c r="H8" s="24" t="str">
        <x:v>Vendor quote</x:v>
      </x:c>
      <x:c r="I8" s="24" t="str">
        <x:v>تقليل GPU/replica للنماذج الضخمة</x:v>
      </x:c>
      <x:c r="J8" s="24" t="str">
        <x:v>عرض مورد</x:v>
      </x:c>
      <x:c r="K8" s="24" t="str">
        <x:v>288GB/GPU؛ أحدث لكن لا سعر عام موثوق</x:v>
      </x:c>
    </x:row>
    <x:row r="9" ht="64" customHeight="1">
      <x:c r="A9" s="31" t="str">
        <x:v>GB300 NVL72</x:v>
      </x:c>
      <x:c r="B9" s="31" t="str">
        <x:v>72× Blackwell Ultra</x:v>
      </x:c>
      <x:c r="C9" s="31" t="str">
        <x:v>≈20TB GPU memory</x:v>
      </x:c>
      <x:c r="D9" s="31" t="str">
        <x:v>36× Grace CPU</x:v>
      </x:c>
      <x:c r="E9" s="31" t="str">
        <x:v>≈17TB CPU memory</x:v>
      </x:c>
      <x:c r="F9" s="31" t="str">
        <x:v>Rack storage fabric</x:v>
      </x:c>
      <x:c r="G9" s="31" t="str">
        <x:v>130TB/s NVLink</x:v>
      </x:c>
      <x:c r="H9" s="31" t="str">
        <x:v>Liquid-cooled rack</x:v>
      </x:c>
      <x:c r="I9" s="31" t="str">
        <x:v>AI factory فقط</x:v>
      </x:c>
      <x:c r="J9" s="31" t="str">
        <x:v>عرض خاص</x:v>
      </x:c>
      <x:c r="K9" s="31" t="str">
        <x:v>أكبر من نطاق 30/50 مستخدماً غالباً</x:v>
      </x:c>
    </x:row>
    <x:row r="11" ht="25" customHeight="1">
      <x:c r="A11" s="13" t="str">
        <x:v>المنصة المشتركة خارج عقد inference</x:v>
      </x:c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</x:row>
    <x:row r="12" ht="38" customHeight="1">
      <x:c r="A12" s="19" t="str">
        <x:v>المكوّن</x:v>
      </x:c>
      <x:c r="B12" s="19" t="str">
        <x:v>العدد</x:v>
      </x:c>
      <x:c r="C12" s="19" t="str">
        <x:v>CPU</x:v>
      </x:c>
      <x:c r="D12" s="19" t="str">
        <x:v>RAM</x:v>
      </x:c>
      <x:c r="E12" s="19" t="str">
        <x:v>Storage</x:v>
      </x:c>
      <x:c r="F12" s="19" t="str">
        <x:v>Network</x:v>
      </x:c>
      <x:c r="G12" s="19" t="str">
        <x:v>HA</x:v>
      </x:c>
      <x:c r="H12" s="19" t="str">
        <x:v>Software</x:v>
      </x:c>
      <x:c r="I12" s="19" t="str">
        <x:v>الغرض</x:v>
      </x:c>
      <x:c r="J12" s="19" t="str">
        <x:v>ضمن السعر</x:v>
      </x:c>
      <x:c r="K12" s="19" t="str">
        <x:v>ملاحظات</x:v>
      </x:c>
    </x:row>
    <x:row r="13" ht="52" customHeight="1">
      <x:c r="A13" s="24" t="str">
        <x:v>Agent/API nodes</x:v>
      </x:c>
      <x:c r="B13" s="24" t="n">
        <x:v>3</x:v>
      </x:c>
      <x:c r="C13" s="24" t="str">
        <x:v>32–64 cores</x:v>
      </x:c>
      <x:c r="D13" s="24" t="str">
        <x:v>256–512GB</x:v>
      </x:c>
      <x:c r="E13" s="24" t="str">
        <x:v>2×3.84TB mirror</x:v>
      </x:c>
      <x:c r="F13" s="24" t="str">
        <x:v>25/100GbE</x:v>
      </x:c>
      <x:c r="G13" s="24" t="str">
        <x:v>3-node</x:v>
      </x:c>
      <x:c r="H13" s="24" t="str">
        <x:v>FastAPI/Electron gateway/Celery</x:v>
      </x:c>
      <x:c r="I13" s="24" t="str">
        <x:v>Orchestration + API</x:v>
      </x:c>
      <x:c r="J13" s="24" t="str">
        <x:v>نعم</x:v>
      </x:c>
      <x:c r="K13" s="24" t="str">
        <x:v>لا تشغل أدوات agent على عقد GPU</x:v>
      </x:c>
    </x:row>
    <x:row r="14" ht="52" customHeight="1">
      <x:c r="A14" s="31" t="str">
        <x:v>PostgreSQL HA</x:v>
      </x:c>
      <x:c r="B14" s="31" t="n">
        <x:v>3</x:v>
      </x:c>
      <x:c r="C14" s="31" t="str">
        <x:v>24–32 cores</x:v>
      </x:c>
      <x:c r="D14" s="31" t="str">
        <x:v>256GB</x:v>
      </x:c>
      <x:c r="E14" s="31" t="str">
        <x:v>NVMe + PITR</x:v>
      </x:c>
      <x:c r="F14" s="31" t="str">
        <x:v>25GbE</x:v>
      </x:c>
      <x:c r="G14" s="31" t="str">
        <x:v>Patroni/managed HA</x:v>
      </x:c>
      <x:c r="H14" s="31" t="str">
        <x:v>Postgres</x:v>
      </x:c>
      <x:c r="I14" s="31" t="str">
        <x:v>Sessions/audit/config</x:v>
      </x:c>
      <x:c r="J14" s="31" t="str">
        <x:v>نعم</x:v>
      </x:c>
      <x:c r="K14" s="31" t="str">
        <x:v>Backup immutable</x:v>
      </x:c>
    </x:row>
    <x:row r="15" ht="52" customHeight="1">
      <x:c r="A15" s="24" t="str">
        <x:v>Redis/Queue</x:v>
      </x:c>
      <x:c r="B15" s="24" t="n">
        <x:v>3</x:v>
      </x:c>
      <x:c r="C15" s="24" t="str">
        <x:v>16 cores</x:v>
      </x:c>
      <x:c r="D15" s="24" t="str">
        <x:v>128GB</x:v>
      </x:c>
      <x:c r="E15" s="24" t="str">
        <x:v>NVMe</x:v>
      </x:c>
      <x:c r="F15" s="24" t="str">
        <x:v>25GbE</x:v>
      </x:c>
      <x:c r="G15" s="24" t="str">
        <x:v>Sentinel/cluster</x:v>
      </x:c>
      <x:c r="H15" s="24" t="str">
        <x:v>Redis/Celery</x:v>
      </x:c>
      <x:c r="I15" s="24" t="str">
        <x:v>Queue + cache + rate limits</x:v>
      </x:c>
      <x:c r="J15" s="24" t="str">
        <x:v>نعم</x:v>
      </x:c>
      <x:c r="K15" s="24" t="str">
        <x:v>Separate from LLM KV</x:v>
      </x:c>
    </x:row>
    <x:row r="16" ht="52" customHeight="1">
      <x:c r="A16" s="31" t="str">
        <x:v>Object/Artifact storage</x:v>
      </x:c>
      <x:c r="B16" s="31" t="n">
        <x:v>4</x:v>
      </x:c>
      <x:c r="C16" s="31" t="str">
        <x:v>16–32 cores</x:v>
      </x:c>
      <x:c r="D16" s="31" t="str">
        <x:v>128GB</x:v>
      </x:c>
      <x:c r="E16" s="31" t="str">
        <x:v>≥100TB raw</x:v>
      </x:c>
      <x:c r="F16" s="31" t="str">
        <x:v>100GbE</x:v>
      </x:c>
      <x:c r="G16" s="31" t="str">
        <x:v>Erasure coding</x:v>
      </x:c>
      <x:c r="H16" s="31" t="str">
        <x:v>S3-compatible</x:v>
      </x:c>
      <x:c r="I16" s="31" t="str">
        <x:v>Files, traces, models</x:v>
      </x:c>
      <x:c r="J16" s="31" t="str">
        <x:v>نعم</x:v>
      </x:c>
      <x:c r="K16" s="31" t="str">
        <x:v>زد السعة حسب retention</x:v>
      </x:c>
    </x:row>
    <x:row r="17" ht="52" customHeight="1">
      <x:c r="A17" s="24" t="str">
        <x:v>Observability/SIEM</x:v>
      </x:c>
      <x:c r="B17" s="24" t="n">
        <x:v>3</x:v>
      </x:c>
      <x:c r="C17" s="24" t="str">
        <x:v>24 cores</x:v>
      </x:c>
      <x:c r="D17" s="24" t="str">
        <x:v>128GB</x:v>
      </x:c>
      <x:c r="E17" s="24" t="str">
        <x:v>20–50TB</x:v>
      </x:c>
      <x:c r="F17" s="24" t="str">
        <x:v>25GbE</x:v>
      </x:c>
      <x:c r="G17" s="24" t="str">
        <x:v>HA</x:v>
      </x:c>
      <x:c r="H17" s="24" t="str">
        <x:v>Prometheus/Grafana/Loki</x:v>
      </x:c>
      <x:c r="I17" s="24" t="str">
        <x:v>Metrics/audit</x:v>
      </x:c>
      <x:c r="J17" s="24" t="str">
        <x:v>نعم</x:v>
      </x:c>
      <x:c r="K17" s="24" t="str">
        <x:v>لا تسجل prompt حساس افتراضياً</x:v>
      </x:c>
    </x:row>
    <x:row r="18" ht="52" customHeight="1">
      <x:c r="A18" s="31" t="str">
        <x:v>Inference router</x:v>
      </x:c>
      <x:c r="B18" s="31" t="n">
        <x:v>3</x:v>
      </x:c>
      <x:c r="C18" s="31" t="str">
        <x:v>16 cores</x:v>
      </x:c>
      <x:c r="D18" s="31" t="str">
        <x:v>64GB</x:v>
      </x:c>
      <x:c r="E18" s="31" t="str">
        <x:v>NVMe</x:v>
      </x:c>
      <x:c r="F18" s="31" t="str">
        <x:v>100GbE</x:v>
      </x:c>
      <x:c r="G18" s="31" t="str">
        <x:v>Active-active</x:v>
      </x:c>
      <x:c r="H18" s="31" t="str">
        <x:v>HAProxy/Envoy/custom</x:v>
      </x:c>
      <x:c r="I18" s="31" t="str">
        <x:v>Routing, quotas, health</x:v>
      </x:c>
      <x:c r="J18" s="31" t="str">
        <x:v>نعم</x:v>
      </x:c>
      <x:c r="K18" s="31" t="str">
        <x:v>Routes default/deep/vision</x:v>
      </x:c>
    </x:row>
    <x:row r="20" ht="25" customHeight="1">
      <x:c r="A20" s="13" t="str">
        <x:v>توزيع العقد لكل سيناريو</x:v>
      </x:c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</x:row>
    <x:row r="21" ht="38" customHeight="1">
      <x:c r="A21" s="19" t="str">
        <x:v>ID</x:v>
      </x:c>
      <x:c r="B21" s="19" t="str">
        <x:v>Users</x:v>
      </x:c>
      <x:c r="C21" s="19" t="str">
        <x:v>Model</x:v>
      </x:c>
      <x:c r="D21" s="19" t="str">
        <x:v>Nodes</x:v>
      </x:c>
      <x:c r="E21" s="19" t="str">
        <x:v>Total GPU</x:v>
      </x:c>
      <x:c r="F21" s="19" t="str">
        <x:v>Active Replicas</x:v>
      </x:c>
      <x:c r="G21" s="19" t="str">
        <x:v>Active GPU</x:v>
      </x:c>
      <x:c r="H21" s="19" t="str">
        <x:v>Spare GPU</x:v>
      </x:c>
      <x:c r="I21" s="19" t="str">
        <x:v>Max kW</x:v>
      </x:c>
      <x:c r="J21" s="19" t="str">
        <x:v>Node Profile</x:v>
      </x:c>
      <x:c r="K21" s="19" t="str">
        <x:v>تشغيل مقترح</x:v>
      </x:c>
    </x:row>
    <x:row r="22" ht="38" customHeight="1">
      <x:c r="A22" s="43" t="str">
        <x:f>'السيناريوهات'!A6</x:f>
        <x:v>S01</x:v>
      </x:c>
      <x:c r="B22" s="43" t="n">
        <x:f>'السيناريوهات'!B6</x:f>
        <x:v>30</x:v>
      </x:c>
      <x:c r="C22" s="43" t="str">
        <x:f>'السيناريوهات'!C6</x:f>
        <x:v>Qwen3.6-35B-A3B</x:v>
      </x:c>
      <x:c r="D22" s="43" t="n">
        <x:f>'السيناريوهات'!H6</x:f>
        <x:v>2</x:v>
      </x:c>
      <x:c r="E22" s="43" t="n">
        <x:f>'السيناريوهات'!I6</x:f>
        <x:v>16</x:v>
      </x:c>
      <x:c r="F22" s="43" t="n">
        <x:f>'السيناريوهات'!G6</x:f>
        <x:v>10</x:v>
      </x:c>
      <x:c r="G22" s="43" t="n">
        <x:f>F22*'الافتراضات'!E18</x:f>
        <x:v>10</x:v>
      </x:c>
      <x:c r="H22" s="43" t="n">
        <x:f>E22-G22</x:f>
        <x:v>6</x:v>
      </x:c>
      <x:c r="I22" s="45" t="n">
        <x:f>D22*'الافتراضات'!K18</x:f>
        <x:v>14</x:v>
      </x:c>
      <x:c r="J22" s="43" t="str">
        <x:f>'الافتراضات'!G18</x:f>
        <x:v>RTX PRO 6000 8-GPU</x:v>
      </x:c>
      <x:c r="K22" s="24" t="str">
        <x:v>llama-server per replica + continuous batching + health-aware router</x:v>
      </x:c>
    </x:row>
    <x:row r="23" ht="38" customHeight="1">
      <x:c r="A23" s="44" t="str">
        <x:f>'السيناريوهات'!A7</x:f>
        <x:v>S02</x:v>
      </x:c>
      <x:c r="B23" s="44" t="n">
        <x:f>'السيناريوهات'!B7</x:f>
        <x:v>50</x:v>
      </x:c>
      <x:c r="C23" s="44" t="str">
        <x:f>'السيناريوهات'!C7</x:f>
        <x:v>Qwen3.6-35B-A3B</x:v>
      </x:c>
      <x:c r="D23" s="44" t="n">
        <x:f>'السيناريوهات'!H7</x:f>
        <x:v>2</x:v>
      </x:c>
      <x:c r="E23" s="44" t="n">
        <x:f>'السيناريوهات'!I7</x:f>
        <x:v>16</x:v>
      </x:c>
      <x:c r="F23" s="44" t="n">
        <x:f>'السيناريوهات'!G7</x:f>
        <x:v>16</x:v>
      </x:c>
      <x:c r="G23" s="44" t="n">
        <x:f>F23*'الافتراضات'!E18</x:f>
        <x:v>16</x:v>
      </x:c>
      <x:c r="H23" s="44" t="n">
        <x:f>E23-G23</x:f>
        <x:v>0</x:v>
      </x:c>
      <x:c r="I23" s="46" t="n">
        <x:f>D23*'الافتراضات'!K18</x:f>
        <x:v>14</x:v>
      </x:c>
      <x:c r="J23" s="44" t="str">
        <x:f>'الافتراضات'!G18</x:f>
        <x:v>RTX PRO 6000 8-GPU</x:v>
      </x:c>
      <x:c r="K23" s="31" t="str">
        <x:v>llama-server per replica + continuous batching + health-aware router</x:v>
      </x:c>
    </x:row>
    <x:row r="24" ht="38" customHeight="1">
      <x:c r="A24" s="43" t="str">
        <x:f>'السيناريوهات'!A8</x:f>
        <x:v>S03</x:v>
      </x:c>
      <x:c r="B24" s="43" t="n">
        <x:f>'السيناريوهات'!B8</x:f>
        <x:v>30</x:v>
      </x:c>
      <x:c r="C24" s="43" t="str">
        <x:f>'السيناريوهات'!C8</x:f>
        <x:v>Qwen3-Coder-Next</x:v>
      </x:c>
      <x:c r="D24" s="43" t="n">
        <x:f>'السيناريوهات'!H8</x:f>
        <x:v>2</x:v>
      </x:c>
      <x:c r="E24" s="43" t="n">
        <x:f>'السيناريوهات'!I8</x:f>
        <x:v>16</x:v>
      </x:c>
      <x:c r="F24" s="43" t="n">
        <x:f>'السيناريوهات'!G8</x:f>
        <x:v>11</x:v>
      </x:c>
      <x:c r="G24" s="43" t="n">
        <x:f>F24*'الافتراضات'!E19</x:f>
        <x:v>11</x:v>
      </x:c>
      <x:c r="H24" s="43" t="n">
        <x:f>E24-G24</x:f>
        <x:v>5</x:v>
      </x:c>
      <x:c r="I24" s="45" t="n">
        <x:f>D24*'الافتراضات'!K19</x:f>
        <x:v>14</x:v>
      </x:c>
      <x:c r="J24" s="43" t="str">
        <x:f>'الافتراضات'!G19</x:f>
        <x:v>RTX PRO 6000 8-GPU</x:v>
      </x:c>
      <x:c r="K24" s="24" t="str">
        <x:v>llama-server per replica + continuous batching + health-aware router</x:v>
      </x:c>
    </x:row>
    <x:row r="25" ht="38" customHeight="1">
      <x:c r="A25" s="44" t="str">
        <x:f>'السيناريوهات'!A9</x:f>
        <x:v>S04</x:v>
      </x:c>
      <x:c r="B25" s="44" t="n">
        <x:f>'السيناريوهات'!B9</x:f>
        <x:v>30</x:v>
      </x:c>
      <x:c r="C25" s="44" t="str">
        <x:f>'السيناريوهات'!C9</x:f>
        <x:v>Qwen3.6-27B</x:v>
      </x:c>
      <x:c r="D25" s="44" t="n">
        <x:f>'السيناريوهات'!H9</x:f>
        <x:v>3</x:v>
      </x:c>
      <x:c r="E25" s="44" t="n">
        <x:f>'السيناريوهات'!I9</x:f>
        <x:v>24</x:v>
      </x:c>
      <x:c r="F25" s="44" t="n">
        <x:f>'السيناريوهات'!G9</x:f>
        <x:v>19</x:v>
      </x:c>
      <x:c r="G25" s="44" t="n">
        <x:f>F25*'الافتراضات'!E20</x:f>
        <x:v>19</x:v>
      </x:c>
      <x:c r="H25" s="44" t="n">
        <x:f>E25-G25</x:f>
        <x:v>5</x:v>
      </x:c>
      <x:c r="I25" s="46" t="n">
        <x:f>D25*'الافتراضات'!K20</x:f>
        <x:v>21</x:v>
      </x:c>
      <x:c r="J25" s="44" t="str">
        <x:f>'الافتراضات'!G20</x:f>
        <x:v>RTX PRO 6000 8-GPU</x:v>
      </x:c>
      <x:c r="K25" s="31" t="str">
        <x:v>llama-server per replica + continuous batching + health-aware router</x:v>
      </x:c>
    </x:row>
    <x:row r="26" ht="38" customHeight="1">
      <x:c r="A26" s="43" t="str">
        <x:f>'السيناريوهات'!A10</x:f>
        <x:v>S05</x:v>
      </x:c>
      <x:c r="B26" s="43" t="n">
        <x:f>'السيناريوهات'!B10</x:f>
        <x:v>50</x:v>
      </x:c>
      <x:c r="C26" s="43" t="str">
        <x:f>'السيناريوهات'!C10</x:f>
        <x:v>Qwen3-Coder-Next</x:v>
      </x:c>
      <x:c r="D26" s="43" t="n">
        <x:f>'السيناريوهات'!H10</x:f>
        <x:v>3</x:v>
      </x:c>
      <x:c r="E26" s="43" t="n">
        <x:f>'السيناريوهات'!I10</x:f>
        <x:v>24</x:v>
      </x:c>
      <x:c r="F26" s="43" t="n">
        <x:f>'السيناريوهات'!G10</x:f>
        <x:v>18</x:v>
      </x:c>
      <x:c r="G26" s="43" t="n">
        <x:f>F26*'الافتراضات'!E19</x:f>
        <x:v>18</x:v>
      </x:c>
      <x:c r="H26" s="43" t="n">
        <x:f>E26-G26</x:f>
        <x:v>6</x:v>
      </x:c>
      <x:c r="I26" s="45" t="n">
        <x:f>D26*'الافتراضات'!K19</x:f>
        <x:v>21</x:v>
      </x:c>
      <x:c r="J26" s="43" t="str">
        <x:f>'الافتراضات'!G19</x:f>
        <x:v>RTX PRO 6000 8-GPU</x:v>
      </x:c>
      <x:c r="K26" s="24" t="str">
        <x:v>llama-server per replica + continuous batching + health-aware router</x:v>
      </x:c>
    </x:row>
    <x:row r="27" ht="38" customHeight="1">
      <x:c r="A27" s="44" t="str">
        <x:f>'السيناريوهات'!A11</x:f>
        <x:v>S06</x:v>
      </x:c>
      <x:c r="B27" s="44" t="n">
        <x:f>'السيناريوهات'!B11</x:f>
        <x:v>50</x:v>
      </x:c>
      <x:c r="C27" s="44" t="str">
        <x:f>'السيناريوهات'!C11</x:f>
        <x:v>Qwen3.6-27B</x:v>
      </x:c>
      <x:c r="D27" s="44" t="n">
        <x:f>'السيناريوهات'!H11</x:f>
        <x:v>4</x:v>
      </x:c>
      <x:c r="E27" s="44" t="n">
        <x:f>'السيناريوهات'!I11</x:f>
        <x:v>32</x:v>
      </x:c>
      <x:c r="F27" s="44" t="n">
        <x:f>'السيناريوهات'!G11</x:f>
        <x:v>32</x:v>
      </x:c>
      <x:c r="G27" s="44" t="n">
        <x:f>F27*'الافتراضات'!E20</x:f>
        <x:v>32</x:v>
      </x:c>
      <x:c r="H27" s="44" t="n">
        <x:f>E27-G27</x:f>
        <x:v>0</x:v>
      </x:c>
      <x:c r="I27" s="46" t="n">
        <x:f>D27*'الافتراضات'!K20</x:f>
        <x:v>28</x:v>
      </x:c>
      <x:c r="J27" s="44" t="str">
        <x:f>'الافتراضات'!G20</x:f>
        <x:v>RTX PRO 6000 8-GPU</x:v>
      </x:c>
      <x:c r="K27" s="31" t="str">
        <x:v>llama-server per replica + continuous batching + health-aware router</x:v>
      </x:c>
    </x:row>
    <x:row r="28" ht="38" customHeight="1">
      <x:c r="A28" s="43" t="str">
        <x:f>'السيناريوهات'!A12</x:f>
        <x:v>S07</x:v>
      </x:c>
      <x:c r="B28" s="43" t="n">
        <x:f>'السيناريوهات'!B12</x:f>
        <x:v>30</x:v>
      </x:c>
      <x:c r="C28" s="43" t="str">
        <x:f>'السيناريوهات'!C12</x:f>
        <x:v>MiniMax M2.7</x:v>
      </x:c>
      <x:c r="D28" s="43" t="n">
        <x:f>'السيناريوهات'!H12</x:f>
        <x:v>2</x:v>
      </x:c>
      <x:c r="E28" s="43" t="n">
        <x:f>'السيناريوهات'!I12</x:f>
        <x:v>16</x:v>
      </x:c>
      <x:c r="F28" s="43" t="n">
        <x:f>'السيناريوهات'!G12</x:f>
        <x:v>11</x:v>
      </x:c>
      <x:c r="G28" s="43" t="n">
        <x:f>F28*'الافتراضات'!E21</x:f>
        <x:v>11</x:v>
      </x:c>
      <x:c r="H28" s="43" t="n">
        <x:f>E28-G28</x:f>
        <x:v>5</x:v>
      </x:c>
      <x:c r="I28" s="45" t="n">
        <x:f>D28*'الافتراضات'!K21</x:f>
        <x:v>28.6</x:v>
      </x:c>
      <x:c r="J28" s="43" t="str">
        <x:f>'الافتراضات'!G21</x:f>
        <x:v>HGX/DGX B200 8-GPU</x:v>
      </x:c>
      <x:c r="K28" s="24" t="str">
        <x:v>llama-server per replica + continuous batching + health-aware router</x:v>
      </x:c>
    </x:row>
    <x:row r="29" ht="38" customHeight="1">
      <x:c r="A29" s="44" t="str">
        <x:f>'السيناريوهات'!A13</x:f>
        <x:v>S08</x:v>
      </x:c>
      <x:c r="B29" s="44" t="n">
        <x:f>'السيناريوهات'!B13</x:f>
        <x:v>30</x:v>
      </x:c>
      <x:c r="C29" s="44" t="str">
        <x:f>'السيناريوهات'!C13</x:f>
        <x:v>DeepSeek V4 Flash</x:v>
      </x:c>
      <x:c r="D29" s="44" t="n">
        <x:f>'السيناريوهات'!H13</x:f>
        <x:v>3</x:v>
      </x:c>
      <x:c r="E29" s="44" t="n">
        <x:f>'السيناريوهات'!I13</x:f>
        <x:v>24</x:v>
      </x:c>
      <x:c r="F29" s="44" t="n">
        <x:f>'السيناريوهات'!G13</x:f>
        <x:v>9</x:v>
      </x:c>
      <x:c r="G29" s="44" t="n">
        <x:f>F29*'الافتراضات'!E22</x:f>
        <x:v>18</x:v>
      </x:c>
      <x:c r="H29" s="44" t="n">
        <x:f>E29-G29</x:f>
        <x:v>6</x:v>
      </x:c>
      <x:c r="I29" s="46" t="n">
        <x:f>D29*'الافتراضات'!K22</x:f>
        <x:v>42.900000000000006</x:v>
      </x:c>
      <x:c r="J29" s="44" t="str">
        <x:f>'الافتراضات'!G22</x:f>
        <x:v>HGX/DGX B200 8-GPU</x:v>
      </x:c>
      <x:c r="K29" s="31" t="str">
        <x:v>llama-server per replica + continuous batching + health-aware router</x:v>
      </x:c>
    </x:row>
    <x:row r="30" ht="38" customHeight="1">
      <x:c r="A30" s="43" t="str">
        <x:f>'السيناريوهات'!A14</x:f>
        <x:v>S09</x:v>
      </x:c>
      <x:c r="B30" s="43" t="n">
        <x:f>'السيناريوهات'!B14</x:f>
        <x:v>50</x:v>
      </x:c>
      <x:c r="C30" s="43" t="str">
        <x:f>'السيناريوهات'!C14</x:f>
        <x:v>MiniMax M2.7</x:v>
      </x:c>
      <x:c r="D30" s="43" t="n">
        <x:f>'السيناريوهات'!H14</x:f>
        <x:v>3</x:v>
      </x:c>
      <x:c r="E30" s="43" t="n">
        <x:f>'السيناريوهات'!I14</x:f>
        <x:v>24</x:v>
      </x:c>
      <x:c r="F30" s="43" t="n">
        <x:f>'السيناريوهات'!G14</x:f>
        <x:v>18</x:v>
      </x:c>
      <x:c r="G30" s="43" t="n">
        <x:f>F30*'الافتراضات'!E21</x:f>
        <x:v>18</x:v>
      </x:c>
      <x:c r="H30" s="43" t="n">
        <x:f>E30-G30</x:f>
        <x:v>6</x:v>
      </x:c>
      <x:c r="I30" s="45" t="n">
        <x:f>D30*'الافتراضات'!K21</x:f>
        <x:v>42.900000000000006</x:v>
      </x:c>
      <x:c r="J30" s="43" t="str">
        <x:f>'الافتراضات'!G21</x:f>
        <x:v>HGX/DGX B200 8-GPU</x:v>
      </x:c>
      <x:c r="K30" s="24" t="str">
        <x:v>llama-server per replica + continuous batching + health-aware router</x:v>
      </x:c>
    </x:row>
    <x:row r="31" ht="38" customHeight="1">
      <x:c r="A31" s="44" t="str">
        <x:f>'السيناريوهات'!A15</x:f>
        <x:v>S10</x:v>
      </x:c>
      <x:c r="B31" s="44" t="n">
        <x:f>'السيناريوهات'!B15</x:f>
        <x:v>50</x:v>
      </x:c>
      <x:c r="C31" s="44" t="str">
        <x:f>'السيناريوهات'!C15</x:f>
        <x:v>DeepSeek V4 Flash</x:v>
      </x:c>
      <x:c r="D31" s="44" t="n">
        <x:f>'السيناريوهات'!H15</x:f>
        <x:v>4</x:v>
      </x:c>
      <x:c r="E31" s="44" t="n">
        <x:f>'السيناريوهات'!I15</x:f>
        <x:v>32</x:v>
      </x:c>
      <x:c r="F31" s="44" t="n">
        <x:f>'السيناريوهات'!G15</x:f>
        <x:v>14</x:v>
      </x:c>
      <x:c r="G31" s="44" t="n">
        <x:f>F31*'الافتراضات'!E22</x:f>
        <x:v>28</x:v>
      </x:c>
      <x:c r="H31" s="44" t="n">
        <x:f>E31-G31</x:f>
        <x:v>4</x:v>
      </x:c>
      <x:c r="I31" s="46" t="n">
        <x:f>D31*'الافتراضات'!K22</x:f>
        <x:v>57.2</x:v>
      </x:c>
      <x:c r="J31" s="44" t="str">
        <x:f>'الافتراضات'!G22</x:f>
        <x:v>HGX/DGX B200 8-GPU</x:v>
      </x:c>
      <x:c r="K31" s="31" t="str">
        <x:v>llama-server per replica + continuous batching + health-aware router</x:v>
      </x:c>
    </x:row>
    <x:row r="32" ht="38" customHeight="1">
      <x:c r="A32" s="43" t="str">
        <x:f>'السيناريوهات'!A16</x:f>
        <x:v>S11</x:v>
      </x:c>
      <x:c r="B32" s="43" t="n">
        <x:f>'السيناريوهات'!B16</x:f>
        <x:v>30</x:v>
      </x:c>
      <x:c r="C32" s="43" t="str">
        <x:f>'السيناريوهات'!C16</x:f>
        <x:v>GLM-5.2</x:v>
      </x:c>
      <x:c r="D32" s="43" t="n">
        <x:f>'السيناريوهات'!H16</x:f>
        <x:v>6</x:v>
      </x:c>
      <x:c r="E32" s="43" t="n">
        <x:f>'السيناريوهات'!I16</x:f>
        <x:v>48</x:v>
      </x:c>
      <x:c r="F32" s="43" t="n">
        <x:f>'السيناريوهات'!G16</x:f>
        <x:v>12</x:v>
      </x:c>
      <x:c r="G32" s="43" t="n">
        <x:f>F32*'الافتراضات'!E23</x:f>
        <x:v>36</x:v>
      </x:c>
      <x:c r="H32" s="43" t="n">
        <x:f>E32-G32</x:f>
        <x:v>12</x:v>
      </x:c>
      <x:c r="I32" s="45" t="n">
        <x:f>D32*'الافتراضات'!K23</x:f>
        <x:v>85.80000000000001</x:v>
      </x:c>
      <x:c r="J32" s="43" t="str">
        <x:f>'الافتراضات'!G23</x:f>
        <x:v>HGX/DGX B200 8-GPU</x:v>
      </x:c>
      <x:c r="K32" s="24" t="str">
        <x:v>llama-server per replica + continuous batching + health-aware router</x:v>
      </x:c>
    </x:row>
    <x:row r="33" ht="38" customHeight="1">
      <x:c r="A33" s="44" t="str">
        <x:f>'السيناريوهات'!A17</x:f>
        <x:v>S12</x:v>
      </x:c>
      <x:c r="B33" s="44" t="n">
        <x:f>'السيناريوهات'!B17</x:f>
        <x:v>30</x:v>
      </x:c>
      <x:c r="C33" s="44" t="str">
        <x:f>'السيناريوهات'!C17</x:f>
        <x:v>Kimi K2.7-Code</x:v>
      </x:c>
      <x:c r="D33" s="44" t="n">
        <x:f>'السيناريوهات'!H17</x:f>
        <x:v>7</x:v>
      </x:c>
      <x:c r="E33" s="44" t="n">
        <x:f>'السيناريوهات'!I17</x:f>
        <x:v>56</x:v>
      </x:c>
      <x:c r="F33" s="44" t="n">
        <x:f>'السيناريوهات'!G17</x:f>
        <x:v>14</x:v>
      </x:c>
      <x:c r="G33" s="44" t="n">
        <x:f>F33*'الافتراضات'!E24</x:f>
        <x:v>56</x:v>
      </x:c>
      <x:c r="H33" s="44" t="n">
        <x:f>E33-G33</x:f>
        <x:v>0</x:v>
      </x:c>
      <x:c r="I33" s="46" t="n">
        <x:f>D33*'الافتراضات'!K24</x:f>
        <x:v>100.10000000000001</x:v>
      </x:c>
      <x:c r="J33" s="44" t="str">
        <x:f>'الافتراضات'!G24</x:f>
        <x:v>HGX/DGX B200 8-GPU</x:v>
      </x:c>
      <x:c r="K33" s="31" t="str">
        <x:v>llama-server per replica + continuous batching + health-aware router</x:v>
      </x:c>
    </x:row>
    <x:row r="34" ht="38" customHeight="1">
      <x:c r="A34" s="43" t="str">
        <x:f>'السيناريوهات'!A18</x:f>
        <x:v>S13</x:v>
      </x:c>
      <x:c r="B34" s="43" t="n">
        <x:f>'السيناريوهات'!B18</x:f>
        <x:v>50</x:v>
      </x:c>
      <x:c r="C34" s="43" t="str">
        <x:f>'السيناريوهات'!C18</x:f>
        <x:v>GLM-5.2</x:v>
      </x:c>
      <x:c r="D34" s="43" t="n">
        <x:f>'السيناريوهات'!H18</x:f>
        <x:v>10</x:v>
      </x:c>
      <x:c r="E34" s="43" t="n">
        <x:f>'السيناريوهات'!I18</x:f>
        <x:v>80</x:v>
      </x:c>
      <x:c r="F34" s="43" t="n">
        <x:f>'السيناريوهات'!G18</x:f>
        <x:v>20</x:v>
      </x:c>
      <x:c r="G34" s="43" t="n">
        <x:f>F34*'الافتراضات'!E23</x:f>
        <x:v>60</x:v>
      </x:c>
      <x:c r="H34" s="43" t="n">
        <x:f>E34-G34</x:f>
        <x:v>20</x:v>
      </x:c>
      <x:c r="I34" s="45" t="n">
        <x:f>D34*'الافتراضات'!K23</x:f>
        <x:v>143</x:v>
      </x:c>
      <x:c r="J34" s="43" t="str">
        <x:f>'الافتراضات'!G23</x:f>
        <x:v>HGX/DGX B200 8-GPU</x:v>
      </x:c>
      <x:c r="K34" s="24" t="str">
        <x:v>llama-server per replica + continuous batching + health-aware router</x:v>
      </x:c>
    </x:row>
    <x:row r="35" ht="38" customHeight="1">
      <x:c r="A35" s="44" t="str">
        <x:f>'السيناريوهات'!A19</x:f>
        <x:v>S14</x:v>
      </x:c>
      <x:c r="B35" s="44" t="n">
        <x:f>'السيناريوهات'!B19</x:f>
        <x:v>50</x:v>
      </x:c>
      <x:c r="C35" s="44" t="str">
        <x:f>'السيناريوهات'!C19</x:f>
        <x:v>Kimi K2.7-Code</x:v>
      </x:c>
      <x:c r="D35" s="44" t="n">
        <x:f>'السيناريوهات'!H19</x:f>
        <x:v>11</x:v>
      </x:c>
      <x:c r="E35" s="44" t="n">
        <x:f>'السيناريوهات'!I19</x:f>
        <x:v>88</x:v>
      </x:c>
      <x:c r="F35" s="44" t="n">
        <x:f>'السيناريوهات'!G19</x:f>
        <x:v>22</x:v>
      </x:c>
      <x:c r="G35" s="44" t="n">
        <x:f>F35*'الافتراضات'!E24</x:f>
        <x:v>88</x:v>
      </x:c>
      <x:c r="H35" s="44" t="n">
        <x:f>E35-G35</x:f>
        <x:v>0</x:v>
      </x:c>
      <x:c r="I35" s="46" t="n">
        <x:f>D35*'الافتراضات'!K24</x:f>
        <x:v>157.3</x:v>
      </x:c>
      <x:c r="J35" s="44" t="str">
        <x:f>'الافتراضات'!G24</x:f>
        <x:v>HGX/DGX B200 8-GPU</x:v>
      </x:c>
      <x:c r="K35" s="31" t="str">
        <x:v>llama-server per replica + continuous batching + health-aware router</x:v>
      </x:c>
    </x:row>
  </x:sheetData>
  <x:mergeCells>
    <x:mergeCell ref="A1:K1"/>
    <x:mergeCell ref="A2:K2"/>
    <x:mergeCell ref="A4:K4"/>
    <x:mergeCell ref="A11:K11"/>
    <x:mergeCell ref="A20:K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1" hidden="0" customWidth="1"/>
    <x:col min="4" max="4" width="16" hidden="0" customWidth="1"/>
    <x:col min="5" max="5" width="12" hidden="0" customWidth="1"/>
    <x:col min="6" max="6" width="13" hidden="0" customWidth="1"/>
    <x:col min="7" max="7" width="22" hidden="0" customWidth="1"/>
    <x:col min="8" max="8" width="16" hidden="0" customWidth="1"/>
    <x:col min="9" max="9" width="16" hidden="0" customWidth="1"/>
    <x:col min="10" max="10" width="12" hidden="0" customWidth="1"/>
    <x:col min="11" max="11" width="10" hidden="0" customWidth="1"/>
    <x:col min="12" max="12" width="18" hidden="0" customWidth="1"/>
    <x:col min="13" max="13" width="18" hidden="0" customWidth="1"/>
  </x:cols>
  <x:sheetData>
    <x:row r="1" ht="38" customHeight="1">
      <x:c r="A1" s="4" t="str">
        <x:v>الافتراضات القابلة للتعديل — السعة والتكلفة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4" customHeight="1">
      <x:c r="A2" s="9" t="str">
        <x:v>الخلايا الزرقاء مدخلات تخطيطية وليست نتائج Benchmark منشورة. يجب استبدالها بنتيجة POC على العتاد الفعلي قبل إصدار عرض سعر ملزم.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4" ht="25" customHeight="1">
      <x:c r="A4" s="13" t="str">
        <x:v>مدخلات الخدمة والتكلفة</x:v>
      </x:c>
      <x:c r="B4" s="13"/>
      <x:c r="C4" s="13"/>
      <x:c r="D4" s="13"/>
    </x:row>
    <x:row r="5" ht="38" customHeight="1">
      <x:c r="A5" s="19" t="str">
        <x:v>البند</x:v>
      </x:c>
      <x:c r="B5" s="19" t="str">
        <x:v>القيمة</x:v>
      </x:c>
      <x:c r="C5" s="19" t="str">
        <x:v>الوحدة</x:v>
      </x:c>
      <x:c r="D5" s="19" t="str">
        <x:v>ملاحظة القرار</x:v>
      </x:c>
    </x:row>
    <x:row r="6">
      <x:c r="A6" s="24" t="str">
        <x:v>هدف سرعة فك الترميز لكل مستخدم</x:v>
      </x:c>
      <x:c r="B6" s="27" t="n">
        <x:v>75</x:v>
      </x:c>
      <x:c r="C6" s="24" t="str">
        <x:v>output tok/s</x:v>
      </x:c>
      <x:c r="D6" s="24" t="str">
        <x:v>حد أدنى مستدام بعد بدء البث؛ لا يشمل زمن الأدوات أو التفكير الداخلي</x:v>
      </x:c>
    </x:row>
    <x:row r="7">
      <x:c r="A7" s="31" t="str">
        <x:v>احتياطي السعة</x:v>
      </x:c>
      <x:c r="B7" s="32" t="n">
        <x:v>0.25</x:v>
      </x:c>
      <x:c r="C7" s="31" t="str">
        <x:v>%</x:v>
      </x:c>
      <x:c r="D7" s="31" t="str">
        <x:v>لعزل تذبذب الحمل وعمليات النظام</x:v>
      </x:c>
    </x:row>
    <x:row r="8">
      <x:c r="A8" s="24" t="str">
        <x:v>ضريبة القيمة المضافة</x:v>
      </x:c>
      <x:c r="B8" s="28" t="n">
        <x:v>0.15</x:v>
      </x:c>
      <x:c r="C8" s="24" t="str">
        <x:v>%</x:v>
      </x:c>
      <x:c r="D8" s="24" t="str">
        <x:v>تطبق على CAPEX التخطيطي</x:v>
      </x:c>
    </x:row>
    <x:row r="9">
      <x:c r="A9" s="31" t="str">
        <x:v>تكامل ودعم أول سنة</x:v>
      </x:c>
      <x:c r="B9" s="32" t="n">
        <x:v>0.12</x:v>
      </x:c>
      <x:c r="C9" s="31" t="str">
        <x:v>% من عتاد inference</x:v>
      </x:c>
      <x:c r="D9" s="31" t="str">
        <x:v>MLOps، ضبط، مراقبة، دعم وصيانة أولية</x:v>
      </x:c>
    </x:row>
    <x:row r="10">
      <x:c r="A10" s="24" t="str">
        <x:v>شحن/قطع احتياطية/تذبذب سعر</x:v>
      </x:c>
      <x:c r="B10" s="28" t="n">
        <x:v>0.1</x:v>
      </x:c>
      <x:c r="C10" s="24" t="str">
        <x:v>% من عتاد inference</x:v>
      </x:c>
      <x:c r="D10" s="24" t="str">
        <x:v>احتياطي شراء وليس عرض مورد</x:v>
      </x:c>
    </x:row>
    <x:row r="11">
      <x:c r="A11" s="31" t="str">
        <x:v>منصة مشتركة لـ30 مستخدماً</x:v>
      </x:c>
      <x:c r="B11" s="33" t="n">
        <x:v>650000</x:v>
      </x:c>
      <x:c r="C11" s="31" t="str">
        <x:v>ر.س قبل VAT</x:v>
      </x:c>
      <x:c r="D11" s="31" t="str">
        <x:v>App/DB/Redis/Storage/Network/Observability</x:v>
      </x:c>
    </x:row>
    <x:row r="12">
      <x:c r="A12" s="24" t="str">
        <x:v>منصة مشتركة لـ50 مستخدماً</x:v>
      </x:c>
      <x:c r="B12" s="29" t="n">
        <x:v>850000</x:v>
      </x:c>
      <x:c r="C12" s="24" t="str">
        <x:v>ر.س قبل VAT</x:v>
      </x:c>
      <x:c r="D12" s="24" t="str">
        <x:v>سعة تطبيق وبيانات أعلى</x:v>
      </x:c>
    </x:row>
    <x:row r="13">
      <x:c r="A13" s="31" t="str">
        <x:v>سعر صرف التخطيط</x:v>
      </x:c>
      <x:c r="B13" s="34" t="n">
        <x:v>3.75</x:v>
      </x:c>
      <x:c r="C13" s="31" t="str">
        <x:v>ر.س/دولار</x:v>
      </x:c>
      <x:c r="D13" s="31" t="str">
        <x:v>ربط الريال بالدولار وفق SAMA</x:v>
      </x:c>
    </x:row>
    <x:row r="14">
      <x:c r="A14" s="24" t="str">
        <x:v>سياق Pool الإنتاج</x:v>
      </x:c>
      <x:c r="B14" s="29" t="n">
        <x:v>32768</x:v>
      </x:c>
      <x:c r="C14" s="24" t="str">
        <x:v>token</x:v>
      </x:c>
      <x:c r="D14" s="24" t="str">
        <x:v>حساب 75 tok/s مبني على 32K؛ 128K/1M يذهب إلى Deep Lane منفصل</x:v>
      </x:c>
    </x:row>
    <x:row r="16" ht="25" customHeight="1">
      <x:c r="A16" s="13" t="str">
        <x:v>افتراضات Throughput لكل Replica — قابلة للاستبدال مباشرة بنتيجة POC</x:v>
      </x:c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</x:row>
    <x:row r="17" ht="38" customHeight="1">
      <x:c r="A17" s="19" t="str">
        <x:v>الموديل</x:v>
      </x:c>
      <x:c r="B17" s="19" t="str">
        <x:v>Aggregate raw tok/s</x:v>
      </x:c>
      <x:c r="C17" s="19" t="str">
        <x:v>احتياطي</x:v>
      </x:c>
      <x:c r="D17" s="19" t="str">
        <x:v>Effective tok/s</x:v>
      </x:c>
      <x:c r="E17" s="19" t="str">
        <x:v>GPU/Replica</x:v>
      </x:c>
      <x:c r="F17" s="19" t="str">
        <x:v>Replica/Node</x:v>
      </x:c>
      <x:c r="G17" s="19" t="str">
        <x:v>نوع العقدة</x:v>
      </x:c>
      <x:c r="H17" s="19" t="str">
        <x:v>سعر العقدة ر.س</x:v>
      </x:c>
      <x:c r="I17" s="19" t="str">
        <x:v>Facility/Node ر.س</x:v>
      </x:c>
      <x:c r="J17" s="19" t="str">
        <x:v>GGUF Q4 GB</x:v>
      </x:c>
      <x:c r="K17" s="19" t="str">
        <x:v>kW/Node</x:v>
      </x:c>
      <x:c r="L17" s="19" t="str">
        <x:v>جاهزية llama.cpp</x:v>
      </x:c>
      <x:c r="M17" s="19" t="str">
        <x:v>ثقة التقدير</x:v>
      </x:c>
    </x:row>
    <x:row r="18">
      <x:c r="A18" s="24" t="str">
        <x:v>Qwen3.6-35B-A3B</x:v>
      </x:c>
      <x:c r="B18" s="27" t="n">
        <x:v>320</x:v>
      </x:c>
      <x:c r="C18" s="35" t="n">
        <x:f>$B$7</x:f>
        <x:v>0.25</x:v>
      </x:c>
      <x:c r="D18" s="36" t="n">
        <x:f>B18*(1-C18)</x:f>
        <x:v>240</x:v>
      </x:c>
      <x:c r="E18" s="24" t="n">
        <x:v>1</x:v>
      </x:c>
      <x:c r="F18" s="24" t="n">
        <x:f>INT(8/E18)</x:f>
        <x:v>8</x:v>
      </x:c>
      <x:c r="G18" s="24" t="str">
        <x:v>RTX PRO 6000 8-GPU</x:v>
      </x:c>
      <x:c r="H18" s="37" t="n">
        <x:v>562500</x:v>
      </x:c>
      <x:c r="I18" s="37" t="n">
        <x:v>120000</x:v>
      </x:c>
      <x:c r="J18" s="36" t="n">
        <x:v>22.1</x:v>
      </x:c>
      <x:c r="K18" s="36" t="n">
        <x:v>7</x:v>
      </x:c>
      <x:c r="L18" s="24" t="str">
        <x:v>إنتاجي</x:v>
      </x:c>
      <x:c r="M18" s="24" t="str">
        <x:v>متوسطة</x:v>
      </x:c>
    </x:row>
    <x:row r="19">
      <x:c r="A19" s="31" t="str">
        <x:v>Qwen3-Coder-Next</x:v>
      </x:c>
      <x:c r="B19" s="38" t="n">
        <x:v>280</x:v>
      </x:c>
      <x:c r="C19" s="39" t="n">
        <x:f>$B$7</x:f>
        <x:v>0.25</x:v>
      </x:c>
      <x:c r="D19" s="40" t="n">
        <x:f>B19*(1-C19)</x:f>
        <x:v>210</x:v>
      </x:c>
      <x:c r="E19" s="31" t="n">
        <x:v>1</x:v>
      </x:c>
      <x:c r="F19" s="31" t="n">
        <x:f>INT(8/E19)</x:f>
        <x:v>8</x:v>
      </x:c>
      <x:c r="G19" s="31" t="str">
        <x:v>RTX PRO 6000 8-GPU</x:v>
      </x:c>
      <x:c r="H19" s="41" t="n">
        <x:v>562500</x:v>
      </x:c>
      <x:c r="I19" s="41" t="n">
        <x:v>120000</x:v>
      </x:c>
      <x:c r="J19" s="40" t="n">
        <x:v>48.4</x:v>
      </x:c>
      <x:c r="K19" s="40" t="n">
        <x:v>7</x:v>
      </x:c>
      <x:c r="L19" s="31" t="str">
        <x:v>إنتاجي</x:v>
      </x:c>
      <x:c r="M19" s="31" t="str">
        <x:v>متوسطة</x:v>
      </x:c>
    </x:row>
    <x:row r="20">
      <x:c r="A20" s="24" t="str">
        <x:v>Qwen3.6-27B</x:v>
      </x:c>
      <x:c r="B20" s="27" t="n">
        <x:v>160</x:v>
      </x:c>
      <x:c r="C20" s="35" t="n">
        <x:f>$B$7</x:f>
        <x:v>0.25</x:v>
      </x:c>
      <x:c r="D20" s="36" t="n">
        <x:f>B20*(1-C20)</x:f>
        <x:v>120</x:v>
      </x:c>
      <x:c r="E20" s="24" t="n">
        <x:v>1</x:v>
      </x:c>
      <x:c r="F20" s="24" t="n">
        <x:f>INT(8/E20)</x:f>
        <x:v>8</x:v>
      </x:c>
      <x:c r="G20" s="24" t="str">
        <x:v>RTX PRO 6000 8-GPU</x:v>
      </x:c>
      <x:c r="H20" s="37" t="n">
        <x:v>562500</x:v>
      </x:c>
      <x:c r="I20" s="37" t="n">
        <x:v>120000</x:v>
      </x:c>
      <x:c r="J20" s="36" t="n">
        <x:v>16.8</x:v>
      </x:c>
      <x:c r="K20" s="36" t="n">
        <x:v>7</x:v>
      </x:c>
      <x:c r="L20" s="24" t="str">
        <x:v>إنتاجي</x:v>
      </x:c>
      <x:c r="M20" s="24" t="str">
        <x:v>متوسطة</x:v>
      </x:c>
    </x:row>
    <x:row r="21">
      <x:c r="A21" s="31" t="str">
        <x:v>MiniMax M2.7</x:v>
      </x:c>
      <x:c r="B21" s="38" t="n">
        <x:v>280</x:v>
      </x:c>
      <x:c r="C21" s="39" t="n">
        <x:f>$B$7</x:f>
        <x:v>0.25</x:v>
      </x:c>
      <x:c r="D21" s="40" t="n">
        <x:f>B21*(1-C21)</x:f>
        <x:v>210</x:v>
      </x:c>
      <x:c r="E21" s="31" t="n">
        <x:v>1</x:v>
      </x:c>
      <x:c r="F21" s="31" t="n">
        <x:f>INT(8/E21)</x:f>
        <x:v>8</x:v>
      </x:c>
      <x:c r="G21" s="31" t="str">
        <x:v>HGX/DGX B200 8-GPU</x:v>
      </x:c>
      <x:c r="H21" s="41" t="n">
        <x:v>1430000</x:v>
      </x:c>
      <x:c r="I21" s="41" t="n">
        <x:v>200000</x:v>
      </x:c>
      <x:c r="J21" s="40" t="n">
        <x:v>140</x:v>
      </x:c>
      <x:c r="K21" s="40" t="n">
        <x:v>14.3</x:v>
      </x:c>
      <x:c r="L21" s="31" t="str">
        <x:v>إنتاجي بعد POC</x:v>
      </x:c>
      <x:c r="M21" s="31" t="str">
        <x:v>متوسطة-منخفضة</x:v>
      </x:c>
    </x:row>
    <x:row r="22">
      <x:c r="A22" s="24" t="str">
        <x:v>DeepSeek V4 Flash</x:v>
      </x:c>
      <x:c r="B22" s="27" t="n">
        <x:v>360</x:v>
      </x:c>
      <x:c r="C22" s="35" t="n">
        <x:f>$B$7</x:f>
        <x:v>0.25</x:v>
      </x:c>
      <x:c r="D22" s="36" t="n">
        <x:f>B22*(1-C22)</x:f>
        <x:v>270</x:v>
      </x:c>
      <x:c r="E22" s="24" t="n">
        <x:v>2</x:v>
      </x:c>
      <x:c r="F22" s="24" t="n">
        <x:f>INT(8/E22)</x:f>
        <x:v>4</x:v>
      </x:c>
      <x:c r="G22" s="24" t="str">
        <x:v>HGX/DGX B200 8-GPU</x:v>
      </x:c>
      <x:c r="H22" s="37" t="n">
        <x:v>1430000</x:v>
      </x:c>
      <x:c r="I22" s="37" t="n">
        <x:v>200000</x:v>
      </x:c>
      <x:c r="J22" s="36" t="n">
        <x:v>163</x:v>
      </x:c>
      <x:c r="K22" s="36" t="n">
        <x:v>14.3</x:v>
      </x:c>
      <x:c r="L22" s="24" t="str">
        <x:v>Pilot — دعم جديد</x:v>
      </x:c>
      <x:c r="M22" s="24" t="str">
        <x:v>منخفضة</x:v>
      </x:c>
    </x:row>
    <x:row r="23">
      <x:c r="A23" s="31" t="str">
        <x:v>GLM-5.2</x:v>
      </x:c>
      <x:c r="B23" s="38" t="n">
        <x:v>260</x:v>
      </x:c>
      <x:c r="C23" s="39" t="n">
        <x:f>$B$7</x:f>
        <x:v>0.25</x:v>
      </x:c>
      <x:c r="D23" s="40" t="n">
        <x:f>B23*(1-C23)</x:f>
        <x:v>195</x:v>
      </x:c>
      <x:c r="E23" s="31" t="n">
        <x:v>3</x:v>
      </x:c>
      <x:c r="F23" s="31" t="n">
        <x:f>INT(8/E23)</x:f>
        <x:v>2</x:v>
      </x:c>
      <x:c r="G23" s="31" t="str">
        <x:v>HGX/DGX B200 8-GPU</x:v>
      </x:c>
      <x:c r="H23" s="41" t="n">
        <x:v>1430000</x:v>
      </x:c>
      <x:c r="I23" s="41" t="n">
        <x:v>200000</x:v>
      </x:c>
      <x:c r="J23" s="40" t="n">
        <x:v>466</x:v>
      </x:c>
      <x:c r="K23" s="40" t="n">
        <x:v>14.3</x:v>
      </x:c>
      <x:c r="L23" s="31" t="str">
        <x:v>إنتاجي بعد POC</x:v>
      </x:c>
      <x:c r="M23" s="31" t="str">
        <x:v>منخفضة</x:v>
      </x:c>
    </x:row>
    <x:row r="24">
      <x:c r="A24" s="24" t="str">
        <x:v>Kimi K2.7-Code</x:v>
      </x:c>
      <x:c r="B24" s="27" t="n">
        <x:v>230</x:v>
      </x:c>
      <x:c r="C24" s="35" t="n">
        <x:f>$B$7</x:f>
        <x:v>0.25</x:v>
      </x:c>
      <x:c r="D24" s="36" t="n">
        <x:f>B24*(1-C24)</x:f>
        <x:v>172.5</x:v>
      </x:c>
      <x:c r="E24" s="24" t="n">
        <x:v>4</x:v>
      </x:c>
      <x:c r="F24" s="24" t="n">
        <x:f>INT(8/E24)</x:f>
        <x:v>2</x:v>
      </x:c>
      <x:c r="G24" s="24" t="str">
        <x:v>HGX/DGX B200 8-GPU</x:v>
      </x:c>
      <x:c r="H24" s="37" t="n">
        <x:v>1430000</x:v>
      </x:c>
      <x:c r="I24" s="37" t="n">
        <x:v>200000</x:v>
      </x:c>
      <x:c r="J24" s="36" t="n">
        <x:v>621</x:v>
      </x:c>
      <x:c r="K24" s="36" t="n">
        <x:v>14.3</x:v>
      </x:c>
      <x:c r="L24" s="24" t="str">
        <x:v>Pilot — GGUF مجتمعي</x:v>
      </x:c>
      <x:c r="M24" s="24" t="str">
        <x:v>منخفضة</x:v>
      </x:c>
    </x:row>
    <x:row r="26" ht="25" customHeight="1">
      <x:c r="A26" s="13" t="str">
        <x:v>حدود النموذج</x:v>
      </x:c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</x:row>
    <x:row r="27" ht="35" customHeight="1">
      <x:c r="A27" s="42" t="str">
        <x:v>1</x:v>
      </x:c>
      <x:c r="B27" s="42" t="str">
        <x:v>75 tok/s هو SLO لفك الترميز streaming بعد أول توكن، وليس زمناً كلياً لإنهاء مهمة agent متعددة الخطوات.</x:v>
      </x:c>
      <x:c r="C27" s="42" t="str"/>
      <x:c r="D27" s="42" t="str"/>
      <x:c r="E27" s="42" t="str"/>
      <x:c r="F27" s="42" t="str"/>
      <x:c r="G27" s="42" t="str"/>
      <x:c r="H27" s="42" t="str"/>
      <x:c r="I27" s="42" t="str"/>
      <x:c r="J27" s="42" t="str"/>
      <x:c r="K27" s="42" t="str"/>
      <x:c r="L27" s="42" t="str"/>
      <x:c r="M27" s="42" t="str"/>
    </x:row>
    <x:row r="28" ht="35" customHeight="1">
      <x:c r="A28" s="42" t="str">
        <x:v>2</x:v>
      </x:c>
      <x:c r="B28" s="42" t="str">
        <x:v>الأرقام تفترض continuous batching و32K active context وQ4 وKV cache مضبوط؛ المهام 128K–1M تستخدم Deep Lane بتزامن أقل.</x:v>
      </x:c>
      <x:c r="C28" s="42" t="str"/>
      <x:c r="D28" s="42" t="str"/>
      <x:c r="E28" s="42" t="str"/>
      <x:c r="F28" s="42" t="str"/>
      <x:c r="G28" s="42" t="str"/>
      <x:c r="H28" s="42" t="str"/>
      <x:c r="I28" s="42" t="str"/>
      <x:c r="J28" s="42" t="str"/>
      <x:c r="K28" s="42" t="str"/>
      <x:c r="L28" s="42" t="str"/>
      <x:c r="M28" s="42" t="str"/>
    </x:row>
    <x:row r="29" ht="35" customHeight="1">
      <x:c r="A29" s="42" t="str">
        <x:v>3</x:v>
      </x:c>
      <x:c r="B29" s="42" t="str">
        <x:v>تصميم Standard يبقي خدمتين/عقدتين على الأقل لكنه قد ينخفض عن 75 tok/s عند فقد عقدة؛ سعر N+1 يضيف عقدة كاملة.</x:v>
      </x:c>
      <x:c r="C29" s="42" t="str"/>
      <x:c r="D29" s="42" t="str"/>
      <x:c r="E29" s="42" t="str"/>
      <x:c r="F29" s="42" t="str"/>
      <x:c r="G29" s="42" t="str"/>
      <x:c r="H29" s="42" t="str"/>
      <x:c r="I29" s="42" t="str"/>
      <x:c r="J29" s="42" t="str"/>
      <x:c r="K29" s="42" t="str"/>
      <x:c r="L29" s="42" t="str"/>
      <x:c r="M29" s="42" t="str"/>
    </x:row>
    <x:row r="30" ht="35" customHeight="1">
      <x:c r="A30" s="42" t="str">
        <x:v>4</x:v>
      </x:c>
      <x:c r="B30" s="42" t="str">
        <x:v>تكلفة مركز بيانات أخضر جديد، Chillers/UPS/Racks/Generator ليست ضمن CAPEX؛ أضف 20–35% إذا لم تكن القاعة جاهزة.</x:v>
      </x:c>
      <x:c r="C30" s="42" t="str"/>
      <x:c r="D30" s="42" t="str"/>
      <x:c r="E30" s="42" t="str"/>
      <x:c r="F30" s="42" t="str"/>
      <x:c r="G30" s="42" t="str"/>
      <x:c r="H30" s="42" t="str"/>
      <x:c r="I30" s="42" t="str"/>
      <x:c r="J30" s="42" t="str"/>
      <x:c r="K30" s="42" t="str"/>
      <x:c r="L30" s="42" t="str"/>
      <x:c r="M30" s="42" t="str"/>
    </x:row>
  </x:sheetData>
  <x:mergeCells>
    <x:mergeCell ref="A1:M1"/>
    <x:mergeCell ref="A2:M2"/>
    <x:mergeCell ref="A4:D4"/>
    <x:mergeCell ref="A16:M16"/>
    <x:mergeCell ref="A26:M26"/>
    <x:mergeCell ref="B27:M27"/>
    <x:mergeCell ref="B28:M28"/>
    <x:mergeCell ref="B29:M29"/>
    <x:mergeCell ref="B30:M3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8" hidden="0" customWidth="1"/>
    <x:col min="3" max="3" width="21" hidden="0" customWidth="1"/>
    <x:col min="4" max="4" width="12" hidden="0" customWidth="1"/>
    <x:col min="5" max="5" width="14" hidden="0" customWidth="1"/>
    <x:col min="6" max="6" width="15" hidden="0" customWidth="1"/>
    <x:col min="7" max="7" width="15" hidden="0" customWidth="1"/>
    <x:col min="8" max="8" width="13" hidden="0" customWidth="1"/>
    <x:col min="9" max="9" width="14" hidden="0" customWidth="1"/>
    <x:col min="10" max="10" width="15" hidden="0" customWidth="1"/>
    <x:col min="11" max="11" width="15" hidden="0" customWidth="1"/>
    <x:col min="12" max="12" width="13" hidden="0" customWidth="1"/>
    <x:col min="13" max="13" width="16" hidden="0" customWidth="1"/>
    <x:col min="14" max="14" width="16" hidden="0" customWidth="1"/>
  </x:cols>
  <x:sheetData>
    <x:row r="1" ht="38" customHeight="1">
      <x:c r="A1" s="4" t="str">
        <x:v>تفصيل CAPEX لكل سيناريو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9" t="str">
        <x:v>كل المبالغ بالريال السعودي. الأسعار مرجعية للتخطيط وتحتاج عروض موردين محليين، خاصة العتاد B200/B300، الشبكات، الدعم والجمارك.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5" customHeight="1">
      <x:c r="A4" s="13" t="str">
        <x:v>تفكيك التكلفة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5" ht="38" customHeight="1">
      <x:c r="A5" s="19" t="str">
        <x:v>ID</x:v>
      </x:c>
      <x:c r="B5" s="19" t="str">
        <x:v>Users</x:v>
      </x:c>
      <x:c r="C5" s="19" t="str">
        <x:v>Model</x:v>
      </x:c>
      <x:c r="D5" s="19" t="str">
        <x:v>Standard Nodes</x:v>
      </x:c>
      <x:c r="E5" s="19" t="str">
        <x:v>سعر العقدة</x:v>
      </x:c>
      <x:c r="F5" s="19" t="str">
        <x:v>Inference HW</x:v>
      </x:c>
      <x:c r="G5" s="19" t="str">
        <x:v>Shared Platform</x:v>
      </x:c>
      <x:c r="H5" s="19" t="str">
        <x:v>Facility</x:v>
      </x:c>
      <x:c r="I5" s="19" t="str">
        <x:v>Integration 12%</x:v>
      </x:c>
      <x:c r="J5" s="19" t="str">
        <x:v>Landed/Spare 10%</x:v>
      </x:c>
      <x:c r="K5" s="19" t="str">
        <x:v>قبل VAT</x:v>
      </x:c>
      <x:c r="L5" s="19" t="str">
        <x:v>VAT</x:v>
      </x:c>
      <x:c r="M5" s="19" t="str">
        <x:v>Standard Total</x:v>
      </x:c>
      <x:c r="N5" s="19" t="str">
        <x:v>N+1 Total</x:v>
      </x:c>
    </x:row>
    <x:row r="6" ht="36" customHeight="1">
      <x:c r="A6" s="43" t="str">
        <x:f>'السيناريوهات'!A6</x:f>
        <x:v>S01</x:v>
      </x:c>
      <x:c r="B6" s="43" t="n">
        <x:f>'السيناريوهات'!B6</x:f>
        <x:v>30</x:v>
      </x:c>
      <x:c r="C6" s="43" t="str">
        <x:f>'السيناريوهات'!C6</x:f>
        <x:v>Qwen3.6-35B-A3B</x:v>
      </x:c>
      <x:c r="D6" s="43" t="n">
        <x:f>'السيناريوهات'!H6</x:f>
        <x:v>2</x:v>
      </x:c>
      <x:c r="E6" s="49" t="n">
        <x:f>'الافتراضات'!H18</x:f>
        <x:v>562500</x:v>
      </x:c>
      <x:c r="F6" s="49" t="n">
        <x:f>D6*E6</x:f>
        <x:v>1125000</x:v>
      </x:c>
      <x:c r="G6" s="49" t="n">
        <x:f>IF(B6=30,'الافتراضات'!$B$11,'الافتراضات'!$B$12)</x:f>
        <x:v>650000</x:v>
      </x:c>
      <x:c r="H6" s="49" t="n">
        <x:f>D6*'الافتراضات'!I18</x:f>
        <x:v>240000</x:v>
      </x:c>
      <x:c r="I6" s="49" t="n">
        <x:f>F6*'الافتراضات'!$B$9</x:f>
        <x:v>135000</x:v>
      </x:c>
      <x:c r="J6" s="49" t="n">
        <x:f>F6*'الافتراضات'!$B$10</x:f>
        <x:v>112500</x:v>
      </x:c>
      <x:c r="K6" s="49" t="n">
        <x:f>SUM(F6:J6)</x:f>
        <x:v>2262500</x:v>
      </x:c>
      <x:c r="L6" s="49" t="n">
        <x:f>K6*'الافتراضات'!$B$8</x:f>
        <x:v>339375</x:v>
      </x:c>
      <x:c r="M6" s="49" t="n">
        <x:f>K6+L6</x:f>
        <x:v>2601875</x:v>
      </x:c>
      <x:c r="N6" s="49" t="n">
        <x:f>(((D6+1)*E6)+G6+((D6+1)*'الافتراضات'!I18)+(((D6+1)*E6)*'الافتراضات'!$B$9)+(((D6+1)*E6)*'الافتراضات'!$B$10))*(1+'الافتراضات'!$B$8)</x:f>
        <x:v>3529062.4999999995</x:v>
      </x:c>
    </x:row>
    <x:row r="7" ht="36" customHeight="1">
      <x:c r="A7" s="44" t="str">
        <x:f>'السيناريوهات'!A7</x:f>
        <x:v>S02</x:v>
      </x:c>
      <x:c r="B7" s="44" t="n">
        <x:f>'السيناريوهات'!B7</x:f>
        <x:v>50</x:v>
      </x:c>
      <x:c r="C7" s="44" t="str">
        <x:f>'السيناريوهات'!C7</x:f>
        <x:v>Qwen3.6-35B-A3B</x:v>
      </x:c>
      <x:c r="D7" s="44" t="n">
        <x:f>'السيناريوهات'!H7</x:f>
        <x:v>2</x:v>
      </x:c>
      <x:c r="E7" s="50" t="n">
        <x:f>'الافتراضات'!H18</x:f>
        <x:v>562500</x:v>
      </x:c>
      <x:c r="F7" s="50" t="n">
        <x:f>D7*E7</x:f>
        <x:v>1125000</x:v>
      </x:c>
      <x:c r="G7" s="50" t="n">
        <x:f>IF(B7=30,'الافتراضات'!$B$11,'الافتراضات'!$B$12)</x:f>
        <x:v>850000</x:v>
      </x:c>
      <x:c r="H7" s="50" t="n">
        <x:f>D7*'الافتراضات'!I18</x:f>
        <x:v>240000</x:v>
      </x:c>
      <x:c r="I7" s="50" t="n">
        <x:f>F7*'الافتراضات'!$B$9</x:f>
        <x:v>135000</x:v>
      </x:c>
      <x:c r="J7" s="50" t="n">
        <x:f>F7*'الافتراضات'!$B$10</x:f>
        <x:v>112500</x:v>
      </x:c>
      <x:c r="K7" s="50" t="n">
        <x:f>SUM(F7:J7)</x:f>
        <x:v>2462500</x:v>
      </x:c>
      <x:c r="L7" s="50" t="n">
        <x:f>K7*'الافتراضات'!$B$8</x:f>
        <x:v>369375</x:v>
      </x:c>
      <x:c r="M7" s="50" t="n">
        <x:f>K7+L7</x:f>
        <x:v>2831875</x:v>
      </x:c>
      <x:c r="N7" s="50" t="n">
        <x:f>(((D7+1)*E7)+G7+((D7+1)*'الافتراضات'!I18)+(((D7+1)*E7)*'الافتراضات'!$B$9)+(((D7+1)*E7)*'الافتراضات'!$B$10))*(1+'الافتراضات'!$B$8)</x:f>
        <x:v>3759062.4999999995</x:v>
      </x:c>
    </x:row>
    <x:row r="8" ht="36" customHeight="1">
      <x:c r="A8" s="43" t="str">
        <x:f>'السيناريوهات'!A8</x:f>
        <x:v>S03</x:v>
      </x:c>
      <x:c r="B8" s="43" t="n">
        <x:f>'السيناريوهات'!B8</x:f>
        <x:v>30</x:v>
      </x:c>
      <x:c r="C8" s="43" t="str">
        <x:f>'السيناريوهات'!C8</x:f>
        <x:v>Qwen3-Coder-Next</x:v>
      </x:c>
      <x:c r="D8" s="43" t="n">
        <x:f>'السيناريوهات'!H8</x:f>
        <x:v>2</x:v>
      </x:c>
      <x:c r="E8" s="49" t="n">
        <x:f>'الافتراضات'!H19</x:f>
        <x:v>562500</x:v>
      </x:c>
      <x:c r="F8" s="49" t="n">
        <x:f>D8*E8</x:f>
        <x:v>1125000</x:v>
      </x:c>
      <x:c r="G8" s="49" t="n">
        <x:f>IF(B8=30,'الافتراضات'!$B$11,'الافتراضات'!$B$12)</x:f>
        <x:v>650000</x:v>
      </x:c>
      <x:c r="H8" s="49" t="n">
        <x:f>D8*'الافتراضات'!I19</x:f>
        <x:v>240000</x:v>
      </x:c>
      <x:c r="I8" s="49" t="n">
        <x:f>F8*'الافتراضات'!$B$9</x:f>
        <x:v>135000</x:v>
      </x:c>
      <x:c r="J8" s="49" t="n">
        <x:f>F8*'الافتراضات'!$B$10</x:f>
        <x:v>112500</x:v>
      </x:c>
      <x:c r="K8" s="49" t="n">
        <x:f>SUM(F8:J8)</x:f>
        <x:v>2262500</x:v>
      </x:c>
      <x:c r="L8" s="49" t="n">
        <x:f>K8*'الافتراضات'!$B$8</x:f>
        <x:v>339375</x:v>
      </x:c>
      <x:c r="M8" s="49" t="n">
        <x:f>K8+L8</x:f>
        <x:v>2601875</x:v>
      </x:c>
      <x:c r="N8" s="49" t="n">
        <x:f>(((D8+1)*E8)+G8+((D8+1)*'الافتراضات'!I19)+(((D8+1)*E8)*'الافتراضات'!$B$9)+(((D8+1)*E8)*'الافتراضات'!$B$10))*(1+'الافتراضات'!$B$8)</x:f>
        <x:v>3529062.4999999995</x:v>
      </x:c>
    </x:row>
    <x:row r="9" ht="36" customHeight="1">
      <x:c r="A9" s="44" t="str">
        <x:f>'السيناريوهات'!A9</x:f>
        <x:v>S04</x:v>
      </x:c>
      <x:c r="B9" s="44" t="n">
        <x:f>'السيناريوهات'!B9</x:f>
        <x:v>30</x:v>
      </x:c>
      <x:c r="C9" s="44" t="str">
        <x:f>'السيناريوهات'!C9</x:f>
        <x:v>Qwen3.6-27B</x:v>
      </x:c>
      <x:c r="D9" s="44" t="n">
        <x:f>'السيناريوهات'!H9</x:f>
        <x:v>3</x:v>
      </x:c>
      <x:c r="E9" s="50" t="n">
        <x:f>'الافتراضات'!H20</x:f>
        <x:v>562500</x:v>
      </x:c>
      <x:c r="F9" s="50" t="n">
        <x:f>D9*E9</x:f>
        <x:v>1687500</x:v>
      </x:c>
      <x:c r="G9" s="50" t="n">
        <x:f>IF(B9=30,'الافتراضات'!$B$11,'الافتراضات'!$B$12)</x:f>
        <x:v>650000</x:v>
      </x:c>
      <x:c r="H9" s="50" t="n">
        <x:f>D9*'الافتراضات'!I20</x:f>
        <x:v>360000</x:v>
      </x:c>
      <x:c r="I9" s="50" t="n">
        <x:f>F9*'الافتراضات'!$B$9</x:f>
        <x:v>202500</x:v>
      </x:c>
      <x:c r="J9" s="50" t="n">
        <x:f>F9*'الافتراضات'!$B$10</x:f>
        <x:v>168750</x:v>
      </x:c>
      <x:c r="K9" s="50" t="n">
        <x:f>SUM(F9:J9)</x:f>
        <x:v>3068750</x:v>
      </x:c>
      <x:c r="L9" s="50" t="n">
        <x:f>K9*'الافتراضات'!$B$8</x:f>
        <x:v>460312.5</x:v>
      </x:c>
      <x:c r="M9" s="50" t="n">
        <x:f>K9+L9</x:f>
        <x:v>3529062.5</x:v>
      </x:c>
      <x:c r="N9" s="50" t="n">
        <x:f>(((D9+1)*E9)+G9+((D9+1)*'الافتراضات'!I20)+(((D9+1)*E9)*'الافتراضات'!$B$9)+(((D9+1)*E9)*'الافتراضات'!$B$10))*(1+'الافتراضات'!$B$8)</x:f>
        <x:v>4456250</x:v>
      </x:c>
    </x:row>
    <x:row r="10" ht="36" customHeight="1">
      <x:c r="A10" s="43" t="str">
        <x:f>'السيناريوهات'!A10</x:f>
        <x:v>S05</x:v>
      </x:c>
      <x:c r="B10" s="43" t="n">
        <x:f>'السيناريوهات'!B10</x:f>
        <x:v>50</x:v>
      </x:c>
      <x:c r="C10" s="43" t="str">
        <x:f>'السيناريوهات'!C10</x:f>
        <x:v>Qwen3-Coder-Next</x:v>
      </x:c>
      <x:c r="D10" s="43" t="n">
        <x:f>'السيناريوهات'!H10</x:f>
        <x:v>3</x:v>
      </x:c>
      <x:c r="E10" s="49" t="n">
        <x:f>'الافتراضات'!H19</x:f>
        <x:v>562500</x:v>
      </x:c>
      <x:c r="F10" s="49" t="n">
        <x:f>D10*E10</x:f>
        <x:v>1687500</x:v>
      </x:c>
      <x:c r="G10" s="49" t="n">
        <x:f>IF(B10=30,'الافتراضات'!$B$11,'الافتراضات'!$B$12)</x:f>
        <x:v>850000</x:v>
      </x:c>
      <x:c r="H10" s="49" t="n">
        <x:f>D10*'الافتراضات'!I19</x:f>
        <x:v>360000</x:v>
      </x:c>
      <x:c r="I10" s="49" t="n">
        <x:f>F10*'الافتراضات'!$B$9</x:f>
        <x:v>202500</x:v>
      </x:c>
      <x:c r="J10" s="49" t="n">
        <x:f>F10*'الافتراضات'!$B$10</x:f>
        <x:v>168750</x:v>
      </x:c>
      <x:c r="K10" s="49" t="n">
        <x:f>SUM(F10:J10)</x:f>
        <x:v>3268750</x:v>
      </x:c>
      <x:c r="L10" s="49" t="n">
        <x:f>K10*'الافتراضات'!$B$8</x:f>
        <x:v>490312.5</x:v>
      </x:c>
      <x:c r="M10" s="49" t="n">
        <x:f>K10+L10</x:f>
        <x:v>3759062.5</x:v>
      </x:c>
      <x:c r="N10" s="49" t="n">
        <x:f>(((D10+1)*E10)+G10+((D10+1)*'الافتراضات'!I19)+(((D10+1)*E10)*'الافتراضات'!$B$9)+(((D10+1)*E10)*'الافتراضات'!$B$10))*(1+'الافتراضات'!$B$8)</x:f>
        <x:v>4686250</x:v>
      </x:c>
    </x:row>
    <x:row r="11" ht="36" customHeight="1">
      <x:c r="A11" s="44" t="str">
        <x:f>'السيناريوهات'!A11</x:f>
        <x:v>S06</x:v>
      </x:c>
      <x:c r="B11" s="44" t="n">
        <x:f>'السيناريوهات'!B11</x:f>
        <x:v>50</x:v>
      </x:c>
      <x:c r="C11" s="44" t="str">
        <x:f>'السيناريوهات'!C11</x:f>
        <x:v>Qwen3.6-27B</x:v>
      </x:c>
      <x:c r="D11" s="44" t="n">
        <x:f>'السيناريوهات'!H11</x:f>
        <x:v>4</x:v>
      </x:c>
      <x:c r="E11" s="50" t="n">
        <x:f>'الافتراضات'!H20</x:f>
        <x:v>562500</x:v>
      </x:c>
      <x:c r="F11" s="50" t="n">
        <x:f>D11*E11</x:f>
        <x:v>2250000</x:v>
      </x:c>
      <x:c r="G11" s="50" t="n">
        <x:f>IF(B11=30,'الافتراضات'!$B$11,'الافتراضات'!$B$12)</x:f>
        <x:v>850000</x:v>
      </x:c>
      <x:c r="H11" s="50" t="n">
        <x:f>D11*'الافتراضات'!I20</x:f>
        <x:v>480000</x:v>
      </x:c>
      <x:c r="I11" s="50" t="n">
        <x:f>F11*'الافتراضات'!$B$9</x:f>
        <x:v>270000</x:v>
      </x:c>
      <x:c r="J11" s="50" t="n">
        <x:f>F11*'الافتراضات'!$B$10</x:f>
        <x:v>225000</x:v>
      </x:c>
      <x:c r="K11" s="50" t="n">
        <x:f>SUM(F11:J11)</x:f>
        <x:v>4075000</x:v>
      </x:c>
      <x:c r="L11" s="50" t="n">
        <x:f>K11*'الافتراضات'!$B$8</x:f>
        <x:v>611250</x:v>
      </x:c>
      <x:c r="M11" s="50" t="n">
        <x:f>K11+L11</x:f>
        <x:v>4686250</x:v>
      </x:c>
      <x:c r="N11" s="50" t="n">
        <x:f>(((D11+1)*E11)+G11+((D11+1)*'الافتراضات'!I20)+(((D11+1)*E11)*'الافتراضات'!$B$9)+(((D11+1)*E11)*'الافتراضات'!$B$10))*(1+'الافتراضات'!$B$8)</x:f>
        <x:v>5613437.5</x:v>
      </x:c>
    </x:row>
    <x:row r="12" ht="36" customHeight="1">
      <x:c r="A12" s="43" t="str">
        <x:f>'السيناريوهات'!A12</x:f>
        <x:v>S07</x:v>
      </x:c>
      <x:c r="B12" s="43" t="n">
        <x:f>'السيناريوهات'!B12</x:f>
        <x:v>30</x:v>
      </x:c>
      <x:c r="C12" s="43" t="str">
        <x:f>'السيناريوهات'!C12</x:f>
        <x:v>MiniMax M2.7</x:v>
      </x:c>
      <x:c r="D12" s="43" t="n">
        <x:f>'السيناريوهات'!H12</x:f>
        <x:v>2</x:v>
      </x:c>
      <x:c r="E12" s="49" t="n">
        <x:f>'الافتراضات'!H21</x:f>
        <x:v>1430000</x:v>
      </x:c>
      <x:c r="F12" s="49" t="n">
        <x:f>D12*E12</x:f>
        <x:v>2860000</x:v>
      </x:c>
      <x:c r="G12" s="49" t="n">
        <x:f>IF(B12=30,'الافتراضات'!$B$11,'الافتراضات'!$B$12)</x:f>
        <x:v>650000</x:v>
      </x:c>
      <x:c r="H12" s="49" t="n">
        <x:f>D12*'الافتراضات'!I21</x:f>
        <x:v>400000</x:v>
      </x:c>
      <x:c r="I12" s="49" t="n">
        <x:f>F12*'الافتراضات'!$B$9</x:f>
        <x:v>343200</x:v>
      </x:c>
      <x:c r="J12" s="49" t="n">
        <x:f>F12*'الافتراضات'!$B$10</x:f>
        <x:v>286000</x:v>
      </x:c>
      <x:c r="K12" s="49" t="n">
        <x:f>SUM(F12:J12)</x:f>
        <x:v>4539200</x:v>
      </x:c>
      <x:c r="L12" s="49" t="n">
        <x:f>K12*'الافتراضات'!$B$8</x:f>
        <x:v>680880</x:v>
      </x:c>
      <x:c r="M12" s="49" t="n">
        <x:f>K12+L12</x:f>
        <x:v>5220080</x:v>
      </x:c>
      <x:c r="N12" s="49" t="n">
        <x:f>(((D12+1)*E12)+G12+((D12+1)*'الافتراضات'!I21)+(((D12+1)*E12)*'الافتراضات'!$B$9)+(((D12+1)*E12)*'الافتراضات'!$B$10))*(1+'الافتراضات'!$B$8)</x:f>
        <x:v>7456369.999999999</x:v>
      </x:c>
    </x:row>
    <x:row r="13" ht="36" customHeight="1">
      <x:c r="A13" s="44" t="str">
        <x:f>'السيناريوهات'!A13</x:f>
        <x:v>S08</x:v>
      </x:c>
      <x:c r="B13" s="44" t="n">
        <x:f>'السيناريوهات'!B13</x:f>
        <x:v>30</x:v>
      </x:c>
      <x:c r="C13" s="44" t="str">
        <x:f>'السيناريوهات'!C13</x:f>
        <x:v>DeepSeek V4 Flash</x:v>
      </x:c>
      <x:c r="D13" s="44" t="n">
        <x:f>'السيناريوهات'!H13</x:f>
        <x:v>3</x:v>
      </x:c>
      <x:c r="E13" s="50" t="n">
        <x:f>'الافتراضات'!H22</x:f>
        <x:v>1430000</x:v>
      </x:c>
      <x:c r="F13" s="50" t="n">
        <x:f>D13*E13</x:f>
        <x:v>4290000</x:v>
      </x:c>
      <x:c r="G13" s="50" t="n">
        <x:f>IF(B13=30,'الافتراضات'!$B$11,'الافتراضات'!$B$12)</x:f>
        <x:v>650000</x:v>
      </x:c>
      <x:c r="H13" s="50" t="n">
        <x:f>D13*'الافتراضات'!I22</x:f>
        <x:v>600000</x:v>
      </x:c>
      <x:c r="I13" s="50" t="n">
        <x:f>F13*'الافتراضات'!$B$9</x:f>
        <x:v>514800</x:v>
      </x:c>
      <x:c r="J13" s="50" t="n">
        <x:f>F13*'الافتراضات'!$B$10</x:f>
        <x:v>429000</x:v>
      </x:c>
      <x:c r="K13" s="50" t="n">
        <x:f>SUM(F13:J13)</x:f>
        <x:v>6483800</x:v>
      </x:c>
      <x:c r="L13" s="50" t="n">
        <x:f>K13*'الافتراضات'!$B$8</x:f>
        <x:v>972570</x:v>
      </x:c>
      <x:c r="M13" s="50" t="n">
        <x:f>K13+L13</x:f>
        <x:v>7456370</x:v>
      </x:c>
      <x:c r="N13" s="50" t="n">
        <x:f>(((D13+1)*E13)+G13+((D13+1)*'الافتراضات'!I22)+(((D13+1)*E13)*'الافتراضات'!$B$9)+(((D13+1)*E13)*'الافتراضات'!$B$10))*(1+'الافتراضات'!$B$8)</x:f>
        <x:v>9692660</x:v>
      </x:c>
    </x:row>
    <x:row r="14" ht="36" customHeight="1">
      <x:c r="A14" s="43" t="str">
        <x:f>'السيناريوهات'!A14</x:f>
        <x:v>S09</x:v>
      </x:c>
      <x:c r="B14" s="43" t="n">
        <x:f>'السيناريوهات'!B14</x:f>
        <x:v>50</x:v>
      </x:c>
      <x:c r="C14" s="43" t="str">
        <x:f>'السيناريوهات'!C14</x:f>
        <x:v>MiniMax M2.7</x:v>
      </x:c>
      <x:c r="D14" s="43" t="n">
        <x:f>'السيناريوهات'!H14</x:f>
        <x:v>3</x:v>
      </x:c>
      <x:c r="E14" s="49" t="n">
        <x:f>'الافتراضات'!H21</x:f>
        <x:v>1430000</x:v>
      </x:c>
      <x:c r="F14" s="49" t="n">
        <x:f>D14*E14</x:f>
        <x:v>4290000</x:v>
      </x:c>
      <x:c r="G14" s="49" t="n">
        <x:f>IF(B14=30,'الافتراضات'!$B$11,'الافتراضات'!$B$12)</x:f>
        <x:v>850000</x:v>
      </x:c>
      <x:c r="H14" s="49" t="n">
        <x:f>D14*'الافتراضات'!I21</x:f>
        <x:v>600000</x:v>
      </x:c>
      <x:c r="I14" s="49" t="n">
        <x:f>F14*'الافتراضات'!$B$9</x:f>
        <x:v>514800</x:v>
      </x:c>
      <x:c r="J14" s="49" t="n">
        <x:f>F14*'الافتراضات'!$B$10</x:f>
        <x:v>429000</x:v>
      </x:c>
      <x:c r="K14" s="49" t="n">
        <x:f>SUM(F14:J14)</x:f>
        <x:v>6683800</x:v>
      </x:c>
      <x:c r="L14" s="49" t="n">
        <x:f>K14*'الافتراضات'!$B$8</x:f>
        <x:v>1002570</x:v>
      </x:c>
      <x:c r="M14" s="49" t="n">
        <x:f>K14+L14</x:f>
        <x:v>7686370</x:v>
      </x:c>
      <x:c r="N14" s="49" t="n">
        <x:f>(((D14+1)*E14)+G14+((D14+1)*'الافتراضات'!I21)+(((D14+1)*E14)*'الافتراضات'!$B$9)+(((D14+1)*E14)*'الافتراضات'!$B$10))*(1+'الافتراضات'!$B$8)</x:f>
        <x:v>9922660</x:v>
      </x:c>
    </x:row>
    <x:row r="15" ht="36" customHeight="1">
      <x:c r="A15" s="44" t="str">
        <x:f>'السيناريوهات'!A15</x:f>
        <x:v>S10</x:v>
      </x:c>
      <x:c r="B15" s="44" t="n">
        <x:f>'السيناريوهات'!B15</x:f>
        <x:v>50</x:v>
      </x:c>
      <x:c r="C15" s="44" t="str">
        <x:f>'السيناريوهات'!C15</x:f>
        <x:v>DeepSeek V4 Flash</x:v>
      </x:c>
      <x:c r="D15" s="44" t="n">
        <x:f>'السيناريوهات'!H15</x:f>
        <x:v>4</x:v>
      </x:c>
      <x:c r="E15" s="50" t="n">
        <x:f>'الافتراضات'!H22</x:f>
        <x:v>1430000</x:v>
      </x:c>
      <x:c r="F15" s="50" t="n">
        <x:f>D15*E15</x:f>
        <x:v>5720000</x:v>
      </x:c>
      <x:c r="G15" s="50" t="n">
        <x:f>IF(B15=30,'الافتراضات'!$B$11,'الافتراضات'!$B$12)</x:f>
        <x:v>850000</x:v>
      </x:c>
      <x:c r="H15" s="50" t="n">
        <x:f>D15*'الافتراضات'!I22</x:f>
        <x:v>800000</x:v>
      </x:c>
      <x:c r="I15" s="50" t="n">
        <x:f>F15*'الافتراضات'!$B$9</x:f>
        <x:v>686400</x:v>
      </x:c>
      <x:c r="J15" s="50" t="n">
        <x:f>F15*'الافتراضات'!$B$10</x:f>
        <x:v>572000</x:v>
      </x:c>
      <x:c r="K15" s="50" t="n">
        <x:f>SUM(F15:J15)</x:f>
        <x:v>8628400</x:v>
      </x:c>
      <x:c r="L15" s="50" t="n">
        <x:f>K15*'الافتراضات'!$B$8</x:f>
        <x:v>1294260</x:v>
      </x:c>
      <x:c r="M15" s="50" t="n">
        <x:f>K15+L15</x:f>
        <x:v>9922660</x:v>
      </x:c>
      <x:c r="N15" s="50" t="n">
        <x:f>(((D15+1)*E15)+G15+((D15+1)*'الافتراضات'!I22)+(((D15+1)*E15)*'الافتراضات'!$B$9)+(((D15+1)*E15)*'الافتراضات'!$B$10))*(1+'الافتراضات'!$B$8)</x:f>
        <x:v>12158949.999999998</x:v>
      </x:c>
    </x:row>
    <x:row r="16" ht="36" customHeight="1">
      <x:c r="A16" s="43" t="str">
        <x:f>'السيناريوهات'!A16</x:f>
        <x:v>S11</x:v>
      </x:c>
      <x:c r="B16" s="43" t="n">
        <x:f>'السيناريوهات'!B16</x:f>
        <x:v>30</x:v>
      </x:c>
      <x:c r="C16" s="43" t="str">
        <x:f>'السيناريوهات'!C16</x:f>
        <x:v>GLM-5.2</x:v>
      </x:c>
      <x:c r="D16" s="43" t="n">
        <x:f>'السيناريوهات'!H16</x:f>
        <x:v>6</x:v>
      </x:c>
      <x:c r="E16" s="49" t="n">
        <x:f>'الافتراضات'!H23</x:f>
        <x:v>1430000</x:v>
      </x:c>
      <x:c r="F16" s="49" t="n">
        <x:f>D16*E16</x:f>
        <x:v>8580000</x:v>
      </x:c>
      <x:c r="G16" s="49" t="n">
        <x:f>IF(B16=30,'الافتراضات'!$B$11,'الافتراضات'!$B$12)</x:f>
        <x:v>650000</x:v>
      </x:c>
      <x:c r="H16" s="49" t="n">
        <x:f>D16*'الافتراضات'!I23</x:f>
        <x:v>1200000</x:v>
      </x:c>
      <x:c r="I16" s="49" t="n">
        <x:f>F16*'الافتراضات'!$B$9</x:f>
        <x:v>1029600</x:v>
      </x:c>
      <x:c r="J16" s="49" t="n">
        <x:f>F16*'الافتراضات'!$B$10</x:f>
        <x:v>858000</x:v>
      </x:c>
      <x:c r="K16" s="49" t="n">
        <x:f>SUM(F16:J16)</x:f>
        <x:v>12317600</x:v>
      </x:c>
      <x:c r="L16" s="49" t="n">
        <x:f>K16*'الافتراضات'!$B$8</x:f>
        <x:v>1847640</x:v>
      </x:c>
      <x:c r="M16" s="49" t="n">
        <x:f>K16+L16</x:f>
        <x:v>14165240</x:v>
      </x:c>
      <x:c r="N16" s="49" t="n">
        <x:f>(((D16+1)*E16)+G16+((D16+1)*'الافتراضات'!I23)+(((D16+1)*E16)*'الافتراضات'!$B$9)+(((D16+1)*E16)*'الافتراضات'!$B$10))*(1+'الافتراضات'!$B$8)</x:f>
        <x:v>16401529.999999998</x:v>
      </x:c>
    </x:row>
    <x:row r="17" ht="36" customHeight="1">
      <x:c r="A17" s="44" t="str">
        <x:f>'السيناريوهات'!A17</x:f>
        <x:v>S12</x:v>
      </x:c>
      <x:c r="B17" s="44" t="n">
        <x:f>'السيناريوهات'!B17</x:f>
        <x:v>30</x:v>
      </x:c>
      <x:c r="C17" s="44" t="str">
        <x:f>'السيناريوهات'!C17</x:f>
        <x:v>Kimi K2.7-Code</x:v>
      </x:c>
      <x:c r="D17" s="44" t="n">
        <x:f>'السيناريوهات'!H17</x:f>
        <x:v>7</x:v>
      </x:c>
      <x:c r="E17" s="50" t="n">
        <x:f>'الافتراضات'!H24</x:f>
        <x:v>1430000</x:v>
      </x:c>
      <x:c r="F17" s="50" t="n">
        <x:f>D17*E17</x:f>
        <x:v>10010000</x:v>
      </x:c>
      <x:c r="G17" s="50" t="n">
        <x:f>IF(B17=30,'الافتراضات'!$B$11,'الافتراضات'!$B$12)</x:f>
        <x:v>650000</x:v>
      </x:c>
      <x:c r="H17" s="50" t="n">
        <x:f>D17*'الافتراضات'!I24</x:f>
        <x:v>1400000</x:v>
      </x:c>
      <x:c r="I17" s="50" t="n">
        <x:f>F17*'الافتراضات'!$B$9</x:f>
        <x:v>1201200</x:v>
      </x:c>
      <x:c r="J17" s="50" t="n">
        <x:f>F17*'الافتراضات'!$B$10</x:f>
        <x:v>1001000</x:v>
      </x:c>
      <x:c r="K17" s="50" t="n">
        <x:f>SUM(F17:J17)</x:f>
        <x:v>14262200</x:v>
      </x:c>
      <x:c r="L17" s="50" t="n">
        <x:f>K17*'الافتراضات'!$B$8</x:f>
        <x:v>2139330</x:v>
      </x:c>
      <x:c r="M17" s="50" t="n">
        <x:f>K17+L17</x:f>
        <x:v>16401530</x:v>
      </x:c>
      <x:c r="N17" s="50" t="n">
        <x:f>(((D17+1)*E17)+G17+((D17+1)*'الافتراضات'!I24)+(((D17+1)*E17)*'الافتراضات'!$B$9)+(((D17+1)*E17)*'الافتراضات'!$B$10))*(1+'الافتراضات'!$B$8)</x:f>
        <x:v>18637820</x:v>
      </x:c>
    </x:row>
    <x:row r="18" ht="36" customHeight="1">
      <x:c r="A18" s="43" t="str">
        <x:f>'السيناريوهات'!A18</x:f>
        <x:v>S13</x:v>
      </x:c>
      <x:c r="B18" s="43" t="n">
        <x:f>'السيناريوهات'!B18</x:f>
        <x:v>50</x:v>
      </x:c>
      <x:c r="C18" s="43" t="str">
        <x:f>'السيناريوهات'!C18</x:f>
        <x:v>GLM-5.2</x:v>
      </x:c>
      <x:c r="D18" s="43" t="n">
        <x:f>'السيناريوهات'!H18</x:f>
        <x:v>10</x:v>
      </x:c>
      <x:c r="E18" s="49" t="n">
        <x:f>'الافتراضات'!H23</x:f>
        <x:v>1430000</x:v>
      </x:c>
      <x:c r="F18" s="49" t="n">
        <x:f>D18*E18</x:f>
        <x:v>14300000</x:v>
      </x:c>
      <x:c r="G18" s="49" t="n">
        <x:f>IF(B18=30,'الافتراضات'!$B$11,'الافتراضات'!$B$12)</x:f>
        <x:v>850000</x:v>
      </x:c>
      <x:c r="H18" s="49" t="n">
        <x:f>D18*'الافتراضات'!I23</x:f>
        <x:v>2000000</x:v>
      </x:c>
      <x:c r="I18" s="49" t="n">
        <x:f>F18*'الافتراضات'!$B$9</x:f>
        <x:v>1716000</x:v>
      </x:c>
      <x:c r="J18" s="49" t="n">
        <x:f>F18*'الافتراضات'!$B$10</x:f>
        <x:v>1430000</x:v>
      </x:c>
      <x:c r="K18" s="49" t="n">
        <x:f>SUM(F18:J18)</x:f>
        <x:v>20296000</x:v>
      </x:c>
      <x:c r="L18" s="49" t="n">
        <x:f>K18*'الافتراضات'!$B$8</x:f>
        <x:v>3044400</x:v>
      </x:c>
      <x:c r="M18" s="49" t="n">
        <x:f>K18+L18</x:f>
        <x:v>23340400</x:v>
      </x:c>
      <x:c r="N18" s="49" t="n">
        <x:f>(((D18+1)*E18)+G18+((D18+1)*'الافتراضات'!I23)+(((D18+1)*E18)*'الافتراضات'!$B$9)+(((D18+1)*E18)*'الافتراضات'!$B$10))*(1+'الافتراضات'!$B$8)</x:f>
        <x:v>25576689.999999996</x:v>
      </x:c>
    </x:row>
    <x:row r="19" ht="36" customHeight="1">
      <x:c r="A19" s="44" t="str">
        <x:f>'السيناريوهات'!A19</x:f>
        <x:v>S14</x:v>
      </x:c>
      <x:c r="B19" s="44" t="n">
        <x:f>'السيناريوهات'!B19</x:f>
        <x:v>50</x:v>
      </x:c>
      <x:c r="C19" s="44" t="str">
        <x:f>'السيناريوهات'!C19</x:f>
        <x:v>Kimi K2.7-Code</x:v>
      </x:c>
      <x:c r="D19" s="44" t="n">
        <x:f>'السيناريوهات'!H19</x:f>
        <x:v>11</x:v>
      </x:c>
      <x:c r="E19" s="50" t="n">
        <x:f>'الافتراضات'!H24</x:f>
        <x:v>1430000</x:v>
      </x:c>
      <x:c r="F19" s="50" t="n">
        <x:f>D19*E19</x:f>
        <x:v>15730000</x:v>
      </x:c>
      <x:c r="G19" s="50" t="n">
        <x:f>IF(B19=30,'الافتراضات'!$B$11,'الافتراضات'!$B$12)</x:f>
        <x:v>850000</x:v>
      </x:c>
      <x:c r="H19" s="50" t="n">
        <x:f>D19*'الافتراضات'!I24</x:f>
        <x:v>2200000</x:v>
      </x:c>
      <x:c r="I19" s="50" t="n">
        <x:f>F19*'الافتراضات'!$B$9</x:f>
        <x:v>1887600</x:v>
      </x:c>
      <x:c r="J19" s="50" t="n">
        <x:f>F19*'الافتراضات'!$B$10</x:f>
        <x:v>1573000</x:v>
      </x:c>
      <x:c r="K19" s="50" t="n">
        <x:f>SUM(F19:J19)</x:f>
        <x:v>22240600</x:v>
      </x:c>
      <x:c r="L19" s="50" t="n">
        <x:f>K19*'الافتراضات'!$B$8</x:f>
        <x:v>3336090</x:v>
      </x:c>
      <x:c r="M19" s="50" t="n">
        <x:f>K19+L19</x:f>
        <x:v>25576690</x:v>
      </x:c>
      <x:c r="N19" s="50" t="n">
        <x:f>(((D19+1)*E19)+G19+((D19+1)*'الافتراضات'!I24)+(((D19+1)*E19)*'الافتراضات'!$B$9)+(((D19+1)*E19)*'الافتراضات'!$B$10))*(1+'الافتراضات'!$B$8)</x:f>
        <x:v>27812979.999999996</x:v>
      </x:c>
    </x:row>
    <x:row r="21" ht="25" customHeight="1">
      <x:c r="A21" s="13" t="str">
        <x:v>ملاحظات مالية</x:v>
      </x:c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</x:row>
    <x:row r="22" ht="34" customHeight="1">
      <x:c r="A22" s="42" t="str">
        <x:v>1</x:v>
      </x:c>
      <x:c r="B22" s="42" t="str">
        <x:v>سعر RTX PRO 6000 node مأخوذ كمرجع HPE 8-GPU ≈150 ألف دولار؛ سعر B200 مرجعي GSA ≈381,251 دولار ثم تحويل 3.75 ر.س/دولار.</x:v>
      </x:c>
      <x:c r="C22" s="42" t="str"/>
      <x:c r="D22" s="42" t="str"/>
      <x:c r="E22" s="42" t="str"/>
      <x:c r="F22" s="42" t="str"/>
      <x:c r="G22" s="42" t="str"/>
      <x:c r="H22" s="42" t="str"/>
      <x:c r="I22" s="42" t="str"/>
      <x:c r="J22" s="42" t="str"/>
      <x:c r="K22" s="42" t="str"/>
      <x:c r="L22" s="42" t="str"/>
      <x:c r="M22" s="42" t="str"/>
      <x:c r="N22" s="42" t="str"/>
    </x:row>
    <x:row r="23" ht="34" customHeight="1">
      <x:c r="A23" s="42" t="str">
        <x:v>2</x:v>
      </x:c>
      <x:c r="B23" s="42" t="str">
        <x:v>Shared Platform تشمل 3 عقد تطبيق/Orchestrator، PostgreSQL HA، Redis، مراقبة، Object Storage، شبكات وإدارة أسرار؛ لا تشمل تراخيص تجارية اختيارية.</x:v>
      </x:c>
      <x:c r="C23" s="42" t="str"/>
      <x:c r="D23" s="42" t="str"/>
      <x:c r="E23" s="42" t="str"/>
      <x:c r="F23" s="42" t="str"/>
      <x:c r="G23" s="42" t="str"/>
      <x:c r="H23" s="42" t="str"/>
      <x:c r="I23" s="42" t="str"/>
      <x:c r="J23" s="42" t="str"/>
      <x:c r="K23" s="42" t="str"/>
      <x:c r="L23" s="42" t="str"/>
      <x:c r="M23" s="42" t="str"/>
      <x:c r="N23" s="42" t="str"/>
    </x:row>
    <x:row r="24" ht="34" customHeight="1">
      <x:c r="A24" s="42" t="str">
        <x:v>3</x:v>
      </x:c>
      <x:c r="B24" s="42" t="str">
        <x:v>N+1 هنا يضيف عقدة inference كاملة؛ التصميم النهائي يجب أن يثبت أن السعة بعد فقد العقدة ما زالت ≥75 tok/s/user في اختبار فعلي.</x:v>
      </x:c>
      <x:c r="C24" s="42" t="str"/>
      <x:c r="D24" s="42" t="str"/>
      <x:c r="E24" s="42" t="str"/>
      <x:c r="F24" s="42" t="str"/>
      <x:c r="G24" s="42" t="str"/>
      <x:c r="H24" s="42" t="str"/>
      <x:c r="I24" s="42" t="str"/>
      <x:c r="J24" s="42" t="str"/>
      <x:c r="K24" s="42" t="str"/>
      <x:c r="L24" s="42" t="str"/>
      <x:c r="M24" s="42" t="str"/>
      <x:c r="N24" s="42" t="str"/>
    </x:row>
    <x:row r="25" ht="34" customHeight="1">
      <x:c r="A25" s="42" t="str">
        <x:v>4</x:v>
      </x:c>
      <x:c r="B25" s="42" t="str">
        <x:v>إذا كانت القاعة غير مجهزة للكهرباء والتبريد، أضف 20–35% لمشروع UPS/PDU/Chiller/Racks/Fire suppression خارج هذا المصنف.</x:v>
      </x:c>
      <x:c r="C25" s="42" t="str"/>
      <x:c r="D25" s="42" t="str"/>
      <x:c r="E25" s="42" t="str"/>
      <x:c r="F25" s="42" t="str"/>
      <x:c r="G25" s="42" t="str"/>
      <x:c r="H25" s="42" t="str"/>
      <x:c r="I25" s="42" t="str"/>
      <x:c r="J25" s="42" t="str"/>
      <x:c r="K25" s="42" t="str"/>
      <x:c r="L25" s="42" t="str"/>
      <x:c r="M25" s="42" t="str"/>
      <x:c r="N25" s="42" t="str"/>
    </x:row>
  </x:sheetData>
  <x:mergeCells>
    <x:mergeCell ref="A1:N1"/>
    <x:mergeCell ref="A2:N2"/>
    <x:mergeCell ref="A4:N4"/>
    <x:mergeCell ref="A21:N21"/>
    <x:mergeCell ref="B22:N22"/>
    <x:mergeCell ref="B23:N23"/>
    <x:mergeCell ref="B24:N24"/>
    <x:mergeCell ref="B25:N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32" hidden="0" customWidth="1"/>
    <x:col min="4" max="4" width="21" hidden="0" customWidth="1"/>
    <x:col min="5" max="5" width="25" hidden="0" customWidth="1"/>
    <x:col min="6" max="6" width="28" hidden="0" customWidth="1"/>
    <x:col min="7" max="7" width="12" hidden="0" customWidth="1"/>
    <x:col min="8" max="8" width="31" hidden="0" customWidth="1"/>
  </x:cols>
  <x:sheetData>
    <x:row r="1" ht="38" customHeight="1">
      <x:c r="A1" s="4" t="str">
        <x:v>POC واختبار القبول قبل الشراء</x:v>
      </x:c>
      <x:c r="B1" s="4"/>
      <x:c r="C1" s="4"/>
      <x:c r="D1" s="4"/>
      <x:c r="E1" s="4"/>
      <x:c r="F1" s="4"/>
      <x:c r="G1" s="4"/>
      <x:c r="H1" s="4"/>
    </x:row>
    <x:row r="2" ht="34" customHeight="1">
      <x:c r="A2" s="9" t="str">
        <x:v>هذه الورقة تحول افتراضات throughput إلى بوابة شراء قابلة للقياس. لا توقع عقد توريد بناءً على الأرقام التخطيطية وحدها.</x:v>
      </x:c>
      <x:c r="B2" s="9"/>
      <x:c r="C2" s="9"/>
      <x:c r="D2" s="9"/>
      <x:c r="E2" s="9"/>
      <x:c r="F2" s="9"/>
      <x:c r="G2" s="9"/>
      <x:c r="H2" s="9"/>
    </x:row>
    <x:row r="4" ht="25" customHeight="1">
      <x:c r="A4" s="13" t="str">
        <x:v>معايير الأداء والاستقرار</x:v>
      </x:c>
      <x:c r="B4" s="13"/>
      <x:c r="C4" s="13"/>
      <x:c r="D4" s="13"/>
      <x:c r="E4" s="13"/>
      <x:c r="F4" s="13"/>
      <x:c r="G4" s="13"/>
      <x:c r="H4" s="13"/>
    </x:row>
    <x:row r="5" ht="38" customHeight="1">
      <x:c r="A5" s="19" t="str">
        <x:v>#</x:v>
      </x:c>
      <x:c r="B5" s="19" t="str">
        <x:v>الاختبار</x:v>
      </x:c>
      <x:c r="C5" s="19" t="str">
        <x:v>إعداد الحمل</x:v>
      </x:c>
      <x:c r="D5" s="19" t="str">
        <x:v>المقياس</x:v>
      </x:c>
      <x:c r="E5" s="19" t="str">
        <x:v>حد القبول</x:v>
      </x:c>
      <x:c r="F5" s="19" t="str">
        <x:v>الأداة/الطريقة</x:v>
      </x:c>
      <x:c r="G5" s="19" t="str">
        <x:v>المدة</x:v>
      </x:c>
      <x:c r="H5" s="19" t="str">
        <x:v>القرار عند الفشل</x:v>
      </x:c>
    </x:row>
    <x:row r="6" ht="58" customHeight="1">
      <x:c r="A6" s="24" t="n">
        <x:v>1</x:v>
      </x:c>
      <x:c r="B6" s="24" t="str">
        <x:v>Sustained decode</x:v>
      </x:c>
      <x:c r="C6" s="24" t="str">
        <x:v>30 أو50 stream؛ 512 output token؛ 32K ctx</x:v>
      </x:c>
      <x:c r="D6" s="24" t="str">
        <x:v>p95 output tok/s/user</x:v>
      </x:c>
      <x:c r="E6" s="24" t="str">
        <x:v>≥75 لكل مستخدم</x:v>
      </x:c>
      <x:c r="F6" s="24" t="str">
        <x:v>OpenAI-compatible streaming load generator</x:v>
      </x:c>
      <x:c r="G6" s="24" t="str">
        <x:v>30 دقيقة</x:v>
      </x:c>
      <x:c r="H6" s="24" t="str">
        <x:v>زد العقد أو خفّض التزام التزامن</x:v>
      </x:c>
    </x:row>
    <x:row r="7" ht="58" customHeight="1">
      <x:c r="A7" s="31" t="n">
        <x:v>2</x:v>
      </x:c>
      <x:c r="B7" s="31" t="str">
        <x:v>Aggregate throughput</x:v>
      </x:c>
      <x:c r="C7" s="31" t="str">
        <x:v>نفس الحمل بعد warm-up</x:v>
      </x:c>
      <x:c r="D7" s="31" t="str">
        <x:v>cluster output tok/s</x:v>
      </x:c>
      <x:c r="E7" s="31" t="str">
        <x:v>≥2,250 للـ30؛ ≥3,750 للـ50</x:v>
      </x:c>
      <x:c r="F7" s="31" t="str">
        <x:v>Server metrics + client sum</x:v>
      </x:c>
      <x:c r="G7" s="31" t="str">
        <x:v>30 دقيقة</x:v>
      </x:c>
      <x:c r="H7" s="31" t="str">
        <x:v>تعديل raw tok/s في الافتراضات</x:v>
      </x:c>
    </x:row>
    <x:row r="8" ht="58" customHeight="1">
      <x:c r="A8" s="24" t="n">
        <x:v>3</x:v>
      </x:c>
      <x:c r="B8" s="24" t="str">
        <x:v>Time to first token</x:v>
      </x:c>
      <x:c r="C8" s="24" t="str">
        <x:v>4K input؛ 30/50 concurrent</x:v>
      </x:c>
      <x:c r="D8" s="24" t="str">
        <x:v>p95 TTFT</x:v>
      </x:c>
      <x:c r="E8" s="24" t="str">
        <x:v>≤3 ثوانٍ</x:v>
      </x:c>
      <x:c r="F8" s="24" t="str">
        <x:v>Client traces</x:v>
      </x:c>
      <x:c r="G8" s="24" t="str">
        <x:v>30 دقيقة</x:v>
      </x:c>
      <x:c r="H8" s="24" t="str">
        <x:v>تحسين prefill/routing أو فصل lane</x:v>
      </x:c>
    </x:row>
    <x:row r="9" ht="58" customHeight="1">
      <x:c r="A9" s="31" t="n">
        <x:v>4</x:v>
      </x:c>
      <x:c r="B9" s="31" t="str">
        <x:v>Tool calling JSON</x:v>
      </x:c>
      <x:c r="C9" s="31" t="str">
        <x:v>500 tool calls متداخلة</x:v>
      </x:c>
      <x:c r="D9" s="31" t="str">
        <x:v>Parse + schema success</x:v>
      </x:c>
      <x:c r="E9" s="31" t="str">
        <x:v>≥98%</x:v>
      </x:c>
      <x:c r="F9" s="31" t="str">
        <x:v>Golden tool suite</x:v>
      </x:c>
      <x:c r="G9" s="31" t="str">
        <x:v>2 ساعة</x:v>
      </x:c>
      <x:c r="H9" s="31" t="str">
        <x:v>تثبيت chat template/parser أو رفض الموديل</x:v>
      </x:c>
    </x:row>
    <x:row r="10" ht="58" customHeight="1">
      <x:c r="A10" s="24" t="n">
        <x:v>5</x:v>
      </x:c>
      <x:c r="B10" s="24" t="str">
        <x:v>Agent long-horizon</x:v>
      </x:c>
      <x:c r="C10" s="24" t="str">
        <x:v>50 مهمة من 8–20 خطوة</x:v>
      </x:c>
      <x:c r="D10" s="24" t="str">
        <x:v>Task success + recovery</x:v>
      </x:c>
      <x:c r="E10" s="24" t="str">
        <x:v>هدف داخلي متفق عليه؛ ≥baseline+10% للترقية</x:v>
      </x:c>
      <x:c r="F10" s="24" t="str">
        <x:v>Hermes/Cowork harness</x:v>
      </x:c>
      <x:c r="G10" s="24" t="str">
        <x:v>1–2 يوم</x:v>
      </x:c>
      <x:c r="H10" s="24" t="str">
        <x:v>لا تدفع فرق Premium دون تحسن مثبت</x:v>
      </x:c>
    </x:row>
    <x:row r="11" ht="58" customHeight="1">
      <x:c r="A11" s="31" t="n">
        <x:v>6</x:v>
      </x:c>
      <x:c r="B11" s="31" t="str">
        <x:v>Repo coding</x:v>
      </x:c>
      <x:c r="C11" s="31" t="str">
        <x:v>SWE subset داخلي بلغات المؤسسة</x:v>
      </x:c>
      <x:c r="D11" s="31" t="str">
        <x:v>Resolved tasks</x:v>
      </x:c>
      <x:c r="E11" s="31" t="str">
        <x:v>يتفوق على Qwen35 حسب tier</x:v>
      </x:c>
      <x:c r="F11" s="31" t="str">
        <x:v>Sandboxed repos + tests</x:v>
      </x:c>
      <x:c r="G11" s="31" t="str">
        <x:v>1–2 يوم</x:v>
      </x:c>
      <x:c r="H11" s="31" t="str">
        <x:v>اختر tier أرخص</x:v>
      </x:c>
    </x:row>
    <x:row r="12" ht="58" customHeight="1">
      <x:c r="A12" s="24" t="n">
        <x:v>7</x:v>
      </x:c>
      <x:c r="B12" s="24" t="str">
        <x:v>Context pressure</x:v>
      </x:c>
      <x:c r="C12" s="24" t="str">
        <x:v>32K active لكل stream</x:v>
      </x:c>
      <x:c r="D12" s="24" t="str">
        <x:v>OOM/evictions/retries</x:v>
      </x:c>
      <x:c r="E12" s="24" t="str">
        <x:v>0 OOM؛ retries &lt;1%</x:v>
      </x:c>
      <x:c r="F12" s="24" t="str">
        <x:v>GPU/llama metrics</x:v>
      </x:c>
      <x:c r="G12" s="24" t="str">
        <x:v>4 ساعات</x:v>
      </x:c>
      <x:c r="H12" s="24" t="str">
        <x:v>KV Q8 أو replicas أكثر</x:v>
      </x:c>
    </x:row>
    <x:row r="13" ht="58" customHeight="1">
      <x:c r="A13" s="31" t="n">
        <x:v>8</x:v>
      </x:c>
      <x:c r="B13" s="31" t="str">
        <x:v>128K Deep Lane</x:v>
      </x:c>
      <x:c r="C13" s="31" t="str">
        <x:v>25% من التزامن فقط</x:v>
      </x:c>
      <x:c r="D13" s="31" t="str">
        <x:v>tok/s + TTFT</x:v>
      </x:c>
      <x:c r="E13" s="31" t="str">
        <x:v>يوثق منفصلاً؛ لا يخلط مع 75 SLO</x:v>
      </x:c>
      <x:c r="F13" s="31" t="str">
        <x:v>Separate route</x:v>
      </x:c>
      <x:c r="G13" s="31" t="str">
        <x:v>4 ساعات</x:v>
      </x:c>
      <x:c r="H13" s="31" t="str">
        <x:v>حد الحصة أو أضف pool منفصل</x:v>
      </x:c>
    </x:row>
    <x:row r="14" ht="58" customHeight="1">
      <x:c r="A14" s="24" t="n">
        <x:v>9</x:v>
      </x:c>
      <x:c r="B14" s="24" t="str">
        <x:v>Node failure</x:v>
      </x:c>
      <x:c r="C14" s="24" t="str">
        <x:v>Kill one inference node</x:v>
      </x:c>
      <x:c r="D14" s="24" t="str">
        <x:v>سعة متبقية/إعادة توجيه</x:v>
      </x:c>
      <x:c r="E14" s="24" t="str">
        <x:v>N+1: يبقى ≥75؛ Standard: خدمة بلا فقد طلب</x:v>
      </x:c>
      <x:c r="F14" s="24" t="str">
        <x:v>Chaos test</x:v>
      </x:c>
      <x:c r="G14" s="24" t="str">
        <x:v>2 ساعة</x:v>
      </x:c>
      <x:c r="H14" s="24" t="str">
        <x:v>إضافة عقدة أو تخفيف SLA</x:v>
      </x:c>
    </x:row>
    <x:row r="15" ht="58" customHeight="1">
      <x:c r="A15" s="31" t="n">
        <x:v>10</x:v>
      </x:c>
      <x:c r="B15" s="31" t="str">
        <x:v>72h soak</x:v>
      </x:c>
      <x:c r="C15" s="31" t="str">
        <x:v>حمل متغير 40–100%</x:v>
      </x:c>
      <x:c r="D15" s="31" t="str">
        <x:v>Error rate / leaks / drift</x:v>
      </x:c>
      <x:c r="E15" s="31" t="str">
        <x:v>5xx &lt;0.1%؛ لا OOM؛ لا degradation</x:v>
      </x:c>
      <x:c r="F15" s="31" t="str">
        <x:v>Prometheus + logs</x:v>
      </x:c>
      <x:c r="G15" s="31" t="str">
        <x:v>72 ساعة</x:v>
      </x:c>
      <x:c r="H15" s="31" t="str">
        <x:v>منع الشراء حتى الإصلاح</x:v>
      </x:c>
    </x:row>
    <x:row r="16" ht="58" customHeight="1">
      <x:c r="A16" s="24" t="n">
        <x:v>11</x:v>
      </x:c>
      <x:c r="B16" s="24" t="str">
        <x:v>Security</x:v>
      </x:c>
      <x:c r="C16" s="24" t="str">
        <x:v>Prompt/tool adversarial suite</x:v>
      </x:c>
      <x:c r="D16" s="24" t="str">
        <x:v>Isolation / data leakage</x:v>
      </x:c>
      <x:c r="E16" s="24" t="str">
        <x:v>لا عبور tenant؛ tools allowlist</x:v>
      </x:c>
      <x:c r="F16" s="24" t="str">
        <x:v>Red-team + audit</x:v>
      </x:c>
      <x:c r="G16" s="24" t="str">
        <x:v>1 يوم</x:v>
      </x:c>
      <x:c r="H16" s="24" t="str">
        <x:v>حظر الإنتاج</x:v>
      </x:c>
    </x:row>
    <x:row r="18" ht="25" customHeight="1">
      <x:c r="A18" s="13" t="str">
        <x:v>إعداد llama.cpp المقترح للاختبار</x:v>
      </x:c>
      <x:c r="B18" s="13"/>
      <x:c r="C18" s="13"/>
      <x:c r="D18" s="13"/>
      <x:c r="E18" s="13"/>
      <x:c r="F18" s="13"/>
      <x:c r="G18" s="13"/>
      <x:c r="H18" s="13"/>
    </x:row>
    <x:row r="19" ht="36" customHeight="1">
      <x:c r="A19" s="51" t="str">
        <x:v>Version</x:v>
      </x:c>
      <x:c r="B19" s="51" t="str">
        <x:v>Pin commit حديث بعد نجاح POC؛ لا تستخدم latest المتغير في الإنتاج</x:v>
      </x:c>
      <x:c r="C19" s="51" t="str"/>
      <x:c r="D19" s="51" t="str"/>
      <x:c r="E19" s="51" t="str"/>
      <x:c r="F19" s="51" t="str"/>
      <x:c r="G19" s="51" t="str"/>
      <x:c r="H19" s="51" t="str"/>
    </x:row>
    <x:row r="20" ht="36" customHeight="1">
      <x:c r="A20" s="51" t="str">
        <x:v>Server</x:v>
      </x:c>
      <x:c r="B20" s="51" t="str">
        <x:v>llama-server + OpenAI-compatible API + continuous batching + parallel slots + Jinja tool template</x:v>
      </x:c>
      <x:c r="C20" s="51" t="str"/>
      <x:c r="D20" s="51" t="str"/>
      <x:c r="E20" s="51" t="str"/>
      <x:c r="F20" s="51" t="str"/>
      <x:c r="G20" s="51" t="str"/>
      <x:c r="H20" s="51" t="str"/>
    </x:row>
    <x:row r="21" ht="36" customHeight="1">
      <x:c r="A21" s="51" t="str">
        <x:v>Context</x:v>
      </x:c>
      <x:c r="B21" s="51" t="str">
        <x:v>-c 32768 للإنتاج الأساسي؛ Deep Lane منفصل لـ128K+</x:v>
      </x:c>
      <x:c r="C21" s="51" t="str"/>
      <x:c r="D21" s="51" t="str"/>
      <x:c r="E21" s="51" t="str"/>
      <x:c r="F21" s="51" t="str"/>
      <x:c r="G21" s="51" t="str"/>
      <x:c r="H21" s="51" t="str"/>
    </x:row>
    <x:row r="22" ht="36" customHeight="1">
      <x:c r="A22" s="51" t="str">
        <x:v>GPU</x:v>
      </x:c>
      <x:c r="B22" s="51" t="str">
        <x:v>Full offload، Flash Attention on، tensor split داخل العقدة فقط قدر الإمكان</x:v>
      </x:c>
      <x:c r="C22" s="51" t="str"/>
      <x:c r="D22" s="51" t="str"/>
      <x:c r="E22" s="51" t="str"/>
      <x:c r="F22" s="51" t="str"/>
      <x:c r="G22" s="51" t="str"/>
      <x:c r="H22" s="51" t="str"/>
    </x:row>
    <x:row r="23" ht="36" customHeight="1">
      <x:c r="A23" s="51" t="str">
        <x:v>KV</x:v>
      </x:c>
      <x:c r="B23" s="51" t="str">
        <x:v>اختبار q8_0 للـK/V ومراقبة الدقة/الذاكرة؛ لا تعتمد قيم عامة</x:v>
      </x:c>
      <x:c r="C23" s="51" t="str"/>
      <x:c r="D23" s="51" t="str"/>
      <x:c r="E23" s="51" t="str"/>
      <x:c r="F23" s="51" t="str"/>
      <x:c r="G23" s="51" t="str"/>
      <x:c r="H23" s="51" t="str"/>
    </x:row>
    <x:row r="24" ht="36" customHeight="1">
      <x:c r="A24" s="51" t="str">
        <x:v>Routing</x:v>
      </x:c>
      <x:c r="B24" s="51" t="str">
        <x:v>Least-loaded + model-aware + circuit breaker + per-tenant quotas + backpressure</x:v>
      </x:c>
      <x:c r="C24" s="51" t="str"/>
      <x:c r="D24" s="51" t="str"/>
      <x:c r="E24" s="51" t="str"/>
      <x:c r="F24" s="51" t="str"/>
      <x:c r="G24" s="51" t="str"/>
      <x:c r="H24" s="51" t="str"/>
    </x:row>
  </x:sheetData>
  <x:mergeCells>
    <x:mergeCell ref="A1:H1"/>
    <x:mergeCell ref="A2:H2"/>
    <x:mergeCell ref="A4:H4"/>
    <x:mergeCell ref="A18:H18"/>
    <x:mergeCell ref="B19:H19"/>
    <x:mergeCell ref="B20:H20"/>
    <x:mergeCell ref="B21:H21"/>
    <x:mergeCell ref="B22:H22"/>
    <x:mergeCell ref="B23:H23"/>
    <x:mergeCell ref="B24:H2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65" hidden="0" customWidth="1"/>
    <x:col min="4" max="4" width="50" hidden="0" customWidth="1"/>
  </x:cols>
  <x:sheetData>
    <x:row r="1" ht="38" customHeight="1">
      <x:c r="A1" s="4" t="str">
        <x:v>المصادر والتوثيق — تم التحقق في 13 يوليو 2026</x:v>
      </x:c>
      <x:c r="B1" s="4"/>
      <x:c r="C1" s="4"/>
      <x:c r="D1" s="4"/>
    </x:row>
    <x:row r="2" ht="34" customHeight="1">
      <x:c r="A2" s="9" t="str">
        <x:v>روابط مباشرة قدر الإمكان إلى Model Cards الرسمية وllama.cpp وNVIDIA ومراجع الأسعار والعملة والضريبة. تقديرات throughput ليست مقتبسة من هذه المصادر.</x:v>
      </x:c>
      <x:c r="B2" s="9"/>
      <x:c r="C2" s="9"/>
      <x:c r="D2" s="9"/>
    </x:row>
    <x:row r="4" ht="25" customHeight="1">
      <x:c r="A4" s="13" t="str">
        <x:v>مصادر النماذج والـGGUF</x:v>
      </x:c>
      <x:c r="B4" s="13"/>
      <x:c r="C4" s="13"/>
      <x:c r="D4" s="13"/>
    </x:row>
    <x:row r="5" ht="38" customHeight="1">
      <x:c r="A5" s="19" t="str">
        <x:v>#</x:v>
      </x:c>
      <x:c r="B5" s="19" t="str">
        <x:v>المصدر</x:v>
      </x:c>
      <x:c r="C5" s="19" t="str">
        <x:v>الرابط</x:v>
      </x:c>
      <x:c r="D5" s="19" t="str">
        <x:v>ما الذي يدعمه</x:v>
      </x:c>
    </x:row>
    <x:row r="6" ht="42" customHeight="1">
      <x:c r="A6" s="24" t="n">
        <x:v>1</x:v>
      </x:c>
      <x:c r="B6" s="24" t="str">
        <x:v>Qwen3.6-27B official</x:v>
      </x:c>
      <x:c r="C6" s="52" t="str">
        <x:v>https://huggingface.co/Qwen/Qwen3.6-27B</x:v>
      </x:c>
      <x:c r="D6" s="24" t="str">
        <x:v>Agentic coding، benchmarks، 262K→1M، Vision، tool use</x:v>
      </x:c>
    </x:row>
    <x:row r="7" ht="42" customHeight="1">
      <x:c r="A7" s="31" t="n">
        <x:v>2</x:v>
      </x:c>
      <x:c r="B7" s="31" t="str">
        <x:v>Qwen3.6-27B GGUF</x:v>
      </x:c>
      <x:c r="C7" s="53" t="str">
        <x:v>https://huggingface.co/unsloth/Qwen3.6-27B-GGUF</x:v>
      </x:c>
      <x:c r="D7" s="31" t="str">
        <x:v>llama.cpp وQ4_K_M 16.8GB</x:v>
      </x:c>
    </x:row>
    <x:row r="8" ht="42" customHeight="1">
      <x:c r="A8" s="24" t="n">
        <x:v>3</x:v>
      </x:c>
      <x:c r="B8" s="24" t="str">
        <x:v>Qwen3.6-35B-A3B GGUF</x:v>
      </x:c>
      <x:c r="C8" s="52" t="str">
        <x:v>https://huggingface.co/unsloth/Qwen3.6-35B-A3B-GGUF</x:v>
      </x:c>
      <x:c r="D8" s="24" t="str">
        <x:v>35B/3B active، llama.cpp، Q4_K_M 22.1GB</x:v>
      </x:c>
    </x:row>
    <x:row r="9" ht="42" customHeight="1">
      <x:c r="A9" s="31" t="n">
        <x:v>4</x:v>
      </x:c>
      <x:c r="B9" s="31" t="str">
        <x:v>Qwen3-Coder-Next GGUF official</x:v>
      </x:c>
      <x:c r="C9" s="53" t="str">
        <x:v>https://huggingface.co/Qwen/Qwen3-Coder-Next-GGUF</x:v>
      </x:c>
      <x:c r="D9" s="31" t="str">
        <x:v>80B/3B active، coding agents، llama.cpp، Q4 48.4GB</x:v>
      </x:c>
    </x:row>
    <x:row r="10" ht="42" customHeight="1">
      <x:c r="A10" s="24" t="n">
        <x:v>5</x:v>
      </x:c>
      <x:c r="B10" s="24" t="str">
        <x:v>MiniMax M2.7 official</x:v>
      </x:c>
      <x:c r="C10" s="52" t="str">
        <x:v>https://www.minimax.io/news/minimax-m27-en</x:v>
      </x:c>
      <x:c r="D10" s="24" t="str">
        <x:v>SWE-Pro/VIBE/Terminal، agent teams وworkflows</x:v>
      </x:c>
    </x:row>
    <x:row r="11" ht="42" customHeight="1">
      <x:c r="A11" s="31" t="n">
        <x:v>6</x:v>
      </x:c>
      <x:c r="B11" s="31" t="str">
        <x:v>MiniMax M2.7 GGUF</x:v>
      </x:c>
      <x:c r="C11" s="53" t="str">
        <x:v>https://huggingface.co/unsloth/MiniMax-M2.7-GGUF</x:v>
      </x:c>
      <x:c r="D11" s="31" t="str">
        <x:v>llama.cpp، 229B، Q4_K_M 140GB</x:v>
      </x:c>
    </x:row>
    <x:row r="12" ht="42" customHeight="1">
      <x:c r="A12" s="24" t="n">
        <x:v>7</x:v>
      </x:c>
      <x:c r="B12" s="24" t="str">
        <x:v>DeepSeek Transparency</x:v>
      </x:c>
      <x:c r="C12" s="52" t="str">
        <x:v>https://www.deepseek.com/en/transparency/</x:v>
      </x:c>
      <x:c r="D12" s="24" t="str">
        <x:v>تاريخ DeepSeek V4: 24-04-2026</x:v>
      </x:c>
    </x:row>
    <x:row r="13" ht="42" customHeight="1">
      <x:c r="A13" s="31" t="n">
        <x:v>8</x:v>
      </x:c>
      <x:c r="B13" s="31" t="str">
        <x:v>DeepSeek V4 llama.cpp request</x:v>
      </x:c>
      <x:c r="C13" s="53" t="str">
        <x:v>https://github.com/ggml-org/llama.cpp/issues/22319</x:v>
      </x:c>
      <x:c r="D13" s="31" t="str">
        <x:v>حداثة الدعم ومخاطر النضج</x:v>
      </x:c>
    </x:row>
    <x:row r="14" ht="42" customHeight="1">
      <x:c r="A14" s="24" t="n">
        <x:v>9</x:v>
      </x:c>
      <x:c r="B14" s="24" t="str">
        <x:v>DeepSeek V4 Flash GGUF</x:v>
      </x:c>
      <x:c r="C14" s="52" t="str">
        <x:v>https://huggingface.co/teamblobfish/DeepSeek-V4-Flash-GGUF</x:v>
      </x:c>
      <x:c r="D14" s="24" t="str">
        <x:v>Q4_K_M-XL ≈163GiB؛ نتائج مبكرة</x:v>
      </x:c>
    </x:row>
    <x:row r="15" ht="42" customHeight="1">
      <x:c r="A15" s="31" t="n">
        <x:v>10</x:v>
      </x:c>
      <x:c r="B15" s="31" t="str">
        <x:v>GLM-5.2 official</x:v>
      </x:c>
      <x:c r="C15" s="53" t="str">
        <x:v>https://huggingface.co/zai-org/GLM-5.2</x:v>
      </x:c>
      <x:c r="D15" s="31" t="str">
        <x:v>Benchmarks agentic/coding و1M context</x:v>
      </x:c>
    </x:row>
    <x:row r="16" ht="42" customHeight="1">
      <x:c r="A16" s="24" t="n">
        <x:v>11</x:v>
      </x:c>
      <x:c r="B16" s="24" t="str">
        <x:v>GLM-5.2 GGUF</x:v>
      </x:c>
      <x:c r="C16" s="52" t="str">
        <x:v>https://huggingface.co/unsloth/GLM-5.2-GGUF</x:v>
      </x:c>
      <x:c r="D16" s="24" t="str">
        <x:v>llama.cpp، 754B، Q4_K_M 466GB</x:v>
      </x:c>
    </x:row>
    <x:row r="17" ht="42" customHeight="1">
      <x:c r="A17" s="31" t="n">
        <x:v>12</x:v>
      </x:c>
      <x:c r="B17" s="31" t="str">
        <x:v>Kimi K2.7-Code official</x:v>
      </x:c>
      <x:c r="C17" s="53" t="str">
        <x:v>https://huggingface.co/moonshotai/Kimi-K2.7-Code</x:v>
      </x:c>
      <x:c r="D17" s="31" t="str">
        <x:v>1T/32B، benchmarks، Vision، 256K، tools</x:v>
      </x:c>
    </x:row>
    <x:row r="18" ht="42" customHeight="1">
      <x:c r="A18" s="24" t="n">
        <x:v>13</x:v>
      </x:c>
      <x:c r="B18" s="24" t="str">
        <x:v>Kimi K2.7 community GGUF</x:v>
      </x:c>
      <x:c r="C18" s="52" t="str">
        <x:v>https://huggingface.co/Edmon02/Kimi-K2.7-Code-GGUF</x:v>
      </x:c>
      <x:c r="D18" s="24" t="str">
        <x:v>مسار GGUF مجتمعي؛ يحتاج تحقق قبل الشراء</x:v>
      </x:c>
    </x:row>
    <x:row r="19" ht="42" customHeight="1">
      <x:c r="A19" s="31" t="n">
        <x:v>14</x:v>
      </x:c>
      <x:c r="B19" s="31" t="str">
        <x:v>MiniMax M3 official</x:v>
      </x:c>
      <x:c r="C19" s="53" t="str">
        <x:v>https://www.minimax.io/blog/minimax-m3</x:v>
      </x:c>
      <x:c r="D19" s="31" t="str">
        <x:v>1M، multimodal، SWE-Pro 59، Terminal 66</x:v>
      </x:c>
    </x:row>
    <x:row r="20" ht="42" customHeight="1">
      <x:c r="A20" s="24" t="n">
        <x:v>15</x:v>
      </x:c>
      <x:c r="B20" s="24" t="str">
        <x:v>MiniMax M3 experimental GGUF</x:v>
      </x:c>
      <x:c r="C20" s="52" t="str">
        <x:v>https://huggingface.co/unsloth/MiniMax-M3-GGUF</x:v>
      </x:c>
      <x:c r="D20" s="24" t="str">
        <x:v>دعم llama.cpp تجريبي PR #24523 وليس released build</x:v>
      </x:c>
    </x:row>
    <x:row r="21" ht="42" customHeight="1">
      <x:c r="A21" s="31" t="n">
        <x:v>16</x:v>
      </x:c>
      <x:c r="B21" s="31" t="str">
        <x:v>llama.cpp releases</x:v>
      </x:c>
      <x:c r="C21" s="53" t="str">
        <x:v>https://github.com/ggml-org/llama.cpp/releases</x:v>
      </x:c>
      <x:c r="D21" s="31" t="str">
        <x:v>الإصدارات الرسمية التي يجب pinning لها</x:v>
      </x:c>
    </x:row>
    <x:row r="23" ht="25" customHeight="1">
      <x:c r="A23" s="13" t="str">
        <x:v>مصادر العتاد والتكلفة</x:v>
      </x:c>
      <x:c r="B23" s="13"/>
      <x:c r="C23" s="13"/>
      <x:c r="D23" s="13"/>
    </x:row>
    <x:row r="24" ht="38" customHeight="1">
      <x:c r="A24" s="19" t="str">
        <x:v>#</x:v>
      </x:c>
      <x:c r="B24" s="19" t="str">
        <x:v>المصدر</x:v>
      </x:c>
      <x:c r="C24" s="19" t="str">
        <x:v>الرابط</x:v>
      </x:c>
      <x:c r="D24" s="19" t="str">
        <x:v>ما الذي يدعمه</x:v>
      </x:c>
    </x:row>
    <x:row r="25" ht="42" customHeight="1">
      <x:c r="A25" s="24" t="n">
        <x:v>17</x:v>
      </x:c>
      <x:c r="B25" s="24" t="str">
        <x:v>NVIDIA RTX PRO 6000 Server Edition</x:v>
      </x:c>
      <x:c r="C25" s="52" t="str">
        <x:v>https://www.nvidia.com/en-us/data-center/rtx-pro-6000-blackwell-server-edition/</x:v>
      </x:c>
      <x:c r="D25" s="24" t="str">
        <x:v>96GB ECC، 1,597GB/s، 600W/GPU</x:v>
      </x:c>
    </x:row>
    <x:row r="26" ht="42" customHeight="1">
      <x:c r="A26" s="31" t="n">
        <x:v>18</x:v>
      </x:c>
      <x:c r="B26" s="31" t="str">
        <x:v>HPE RTX PRO reference</x:v>
      </x:c>
      <x:c r="C26" s="53" t="str">
        <x:v>https://www.hpe.com/h40132/filelib/ch/fr/638948378807648599_fadc5890923f596f219c8474b2d0433e.pdf</x:v>
      </x:c>
      <x:c r="D26" s="31" t="str">
        <x:v>مرجع 8-GPU ≈US$150K و≈7kW</x:v>
      </x:c>
    </x:row>
    <x:row r="27" ht="42" customHeight="1">
      <x:c r="A27" s="24" t="n">
        <x:v>19</x:v>
      </x:c>
      <x:c r="B27" s="24" t="str">
        <x:v>NVIDIA DGX B200 guide</x:v>
      </x:c>
      <x:c r="C27" s="52" t="str">
        <x:v>https://docs.nvidia.com/dgx/dgxb200-user-guide/introduction-to-dgxb200.html</x:v>
      </x:c>
      <x:c r="D27" s="24" t="str">
        <x:v>8×B200، 1.44TB HBM3e، 14.3kW</x:v>
      </x:c>
    </x:row>
    <x:row r="28" ht="42" customHeight="1">
      <x:c r="A28" s="31" t="n">
        <x:v>20</x:v>
      </x:c>
      <x:c r="B28" s="31" t="str">
        <x:v>GSA B200 reference price</x:v>
      </x:c>
      <x:c r="C28" s="53" t="str">
        <x:v>https://www.gsaadvantage.gov/ref_text/47QTCA25D00CL/10JE5R.3W9R0F_47QTCA25D00CL_MASGSAPRICELISTSECURISEA07132025.PDF</x:v>
      </x:c>
      <x:c r="D28" s="31" t="str">
        <x:v>مرجع نظام 8×B200 = US$381,251.25</x:v>
      </x:c>
    </x:row>
    <x:row r="29" ht="42" customHeight="1">
      <x:c r="A29" s="24" t="n">
        <x:v>21</x:v>
      </x:c>
      <x:c r="B29" s="24" t="str">
        <x:v>NVIDIA HGX B300 components</x:v>
      </x:c>
      <x:c r="C29" s="52" t="str">
        <x:v>https://docs.nvidia.com/enterprise-reference-architectures/hgx-ai-factory/latest/components.html</x:v>
      </x:c>
      <x:c r="D29" s="24" t="str">
        <x:v>B300 288GB/GPU، 2.30TB/node</x:v>
      </x:c>
    </x:row>
    <x:row r="30" ht="42" customHeight="1">
      <x:c r="A30" s="31" t="n">
        <x:v>22</x:v>
      </x:c>
      <x:c r="B30" s="31" t="str">
        <x:v>NVIDIA GB300 NVL72</x:v>
      </x:c>
      <x:c r="C30" s="53" t="str">
        <x:v>https://www.nvidia.com/en-gb/data-center/gb300-nvl72/</x:v>
      </x:c>
      <x:c r="D30" s="31" t="str">
        <x:v>72 GPU، rack liquid cooled، 20TB GPU memory</x:v>
      </x:c>
    </x:row>
    <x:row r="31" ht="42" customHeight="1">
      <x:c r="A31" s="24" t="n">
        <x:v>23</x:v>
      </x:c>
      <x:c r="B31" s="24" t="str">
        <x:v>SAMA exchange rate</x:v>
      </x:c>
      <x:c r="C31" s="52" t="str">
        <x:v>https://www.sama.gov.sa/en-US/Currency/FinExc/pages/currency.aspx</x:v>
      </x:c>
      <x:c r="D31" s="24" t="str">
        <x:v>3.75 SAR/USD</x:v>
      </x:c>
    </x:row>
    <x:row r="32" ht="42" customHeight="1">
      <x:c r="A32" s="31" t="n">
        <x:v>24</x:v>
      </x:c>
      <x:c r="B32" s="31" t="str">
        <x:v>ZATCA VAT</x:v>
      </x:c>
      <x:c r="C32" s="53" t="str">
        <x:v>https://zatca.gov.sa/ar/rulesregulations/vat/pages/about-vat.aspx</x:v>
      </x:c>
      <x:c r="D32" s="31" t="str">
        <x:v>VAT السعودية 15%</x:v>
      </x:c>
    </x:row>
  </x:sheetData>
  <x:mergeCells>
    <x:mergeCell ref="A1:D1"/>
    <x:mergeCell ref="A2:D2"/>
    <x:mergeCell ref="A4:D4"/>
    <x:mergeCell ref="A23:D2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8" customHeight="1">
      <x:c r="A1" s="4" t="str">
        <x:v>فحوصات الاتساق</x:v>
      </x:c>
      <x:c r="B1" s="4"/>
      <x:c r="C1" s="4"/>
      <x:c r="D1" s="4"/>
    </x:row>
    <x:row r="2" ht="34" customHeight="1">
      <x:c r="A2" s="9" t="str">
        <x:v>تعرض هذه الورقة اختبارات الصيغ والحد الأدنى للسعة. الفحص البصري وفحص أخطاء الصيغ يتمان أيضاً خارج المصنف قبل التسليم.</x:v>
      </x:c>
      <x:c r="B2" s="9"/>
      <x:c r="C2" s="9"/>
      <x:c r="D2" s="9"/>
    </x:row>
    <x:row r="4" ht="25" customHeight="1">
      <x:c r="A4" s="13" t="str">
        <x:v>اختبارات آلية</x:v>
      </x:c>
      <x:c r="B4" s="13"/>
      <x:c r="C4" s="13"/>
      <x:c r="D4" s="13"/>
    </x:row>
    <x:row r="5" ht="38" customHeight="1">
      <x:c r="A5" s="19" t="str">
        <x:v>الفحص</x:v>
      </x:c>
      <x:c r="B5" s="19" t="str">
        <x:v>النتيجة</x:v>
      </x:c>
      <x:c r="C5" s="19" t="str">
        <x:v>المطلوب</x:v>
      </x:c>
      <x:c r="D5" s="19" t="str">
        <x:v>الحالة</x:v>
      </x:c>
    </x:row>
    <x:row r="6" ht="34" customHeight="1">
      <x:c r="A6" s="24" t="str">
        <x:v>عدد السيناريوهات</x:v>
      </x:c>
      <x:c r="B6" s="24" t="n">
        <x:f>COUNTA('السيناريوهات'!A6:A19)</x:f>
        <x:v>14</x:v>
      </x:c>
      <x:c r="C6" s="24" t="str">
        <x:v>&gt;=10</x:v>
      </x:c>
      <x:c r="D6" s="24" t="str">
        <x:f>IF(OR(B6="PASS",B6="FAIL"),B6,IF(B6&gt;0,"PASS","FAIL"))</x:f>
        <x:v>PASS</x:v>
      </x:c>
    </x:row>
    <x:row r="7" ht="34" customHeight="1">
      <x:c r="A7" s="31" t="str">
        <x:v>أقل tok/s لكل مستخدم</x:v>
      </x:c>
      <x:c r="B7" s="40" t="n">
        <x:f>MIN('السيناريوهات'!J6:J19)</x:f>
        <x:v>75.6</x:v>
      </x:c>
      <x:c r="C7" s="31" t="str">
        <x:v>&gt;=75</x:v>
      </x:c>
      <x:c r="D7" s="31" t="str">
        <x:f>IF(OR(B7="PASS",B7="FAIL"),B7,IF(B7&gt;0,"PASS","FAIL"))</x:f>
        <x:v>PASS</x:v>
      </x:c>
    </x:row>
    <x:row r="8" ht="34" customHeight="1">
      <x:c r="A8" s="24" t="str">
        <x:v>كل السيناريوهات ≥75</x:v>
      </x:c>
      <x:c r="B8" s="24" t="str">
        <x:f>IF(B7&gt;=75,"PASS","FAIL")</x:f>
        <x:v>PASS</x:v>
      </x:c>
      <x:c r="C8" s="24" t="str">
        <x:v>PASS</x:v>
      </x:c>
      <x:c r="D8" s="24" t="str">
        <x:f>IF(OR(B8="PASS",B8="FAIL"),B8,IF(B8&gt;0,"PASS","FAIL"))</x:f>
        <x:v>PASS</x:v>
      </x:c>
    </x:row>
    <x:row r="9" ht="34" customHeight="1">
      <x:c r="A9" s="31" t="str">
        <x:v>عدد سيناريوهات 30 مستخدماً</x:v>
      </x:c>
      <x:c r="B9" s="31" t="n">
        <x:f>COUNTIF('السيناريوهات'!B6:B19,30)</x:f>
        <x:v>7</x:v>
      </x:c>
      <x:c r="C9" s="31" t="str">
        <x:v>&gt;=5</x:v>
      </x:c>
      <x:c r="D9" s="31" t="str">
        <x:f>IF(OR(B9="PASS",B9="FAIL"),B9,IF(B9&gt;0,"PASS","FAIL"))</x:f>
        <x:v>PASS</x:v>
      </x:c>
    </x:row>
    <x:row r="10" ht="34" customHeight="1">
      <x:c r="A10" s="24" t="str">
        <x:v>عدد سيناريوهات 50 مستخدماً</x:v>
      </x:c>
      <x:c r="B10" s="24" t="n">
        <x:f>COUNTIF('السيناريوهات'!B6:B19,50)</x:f>
        <x:v>7</x:v>
      </x:c>
      <x:c r="C10" s="24" t="str">
        <x:v>&gt;=5</x:v>
      </x:c>
      <x:c r="D10" s="24" t="str">
        <x:f>IF(OR(B10="PASS",B10="FAIL"),B10,IF(B10&gt;0,"PASS","FAIL"))</x:f>
        <x:v>PASS</x:v>
      </x:c>
    </x:row>
    <x:row r="11" ht="34" customHeight="1">
      <x:c r="A11" s="31" t="str">
        <x:v>Standard CAPEX الأدنى (مليون)</x:v>
      </x:c>
      <x:c r="B11" s="54" t="n">
        <x:f>MIN('السيناريوهات'!K6:K19)</x:f>
        <x:v>2.601875</x:v>
      </x:c>
      <x:c r="C11" s="31" t="str">
        <x:v>&gt;0</x:v>
      </x:c>
      <x:c r="D11" s="31" t="str">
        <x:f>IF(OR(B11="PASS",B11="FAIL"),B11,IF(B11&gt;0,"PASS","FAIL"))</x:f>
        <x:v>PASS</x:v>
      </x:c>
    </x:row>
    <x:row r="12" ht="34" customHeight="1">
      <x:c r="A12" s="24" t="str">
        <x:v>Standard CAPEX الأعلى (مليون)</x:v>
      </x:c>
      <x:c r="B12" s="55" t="n">
        <x:f>MAX('السيناريوهات'!K6:K19)</x:f>
        <x:v>25.576689999999996</x:v>
      </x:c>
      <x:c r="C12" s="24" t="str">
        <x:v>&gt; الأدنى</x:v>
      </x:c>
      <x:c r="D12" s="24" t="str">
        <x:f>IF(OR(B12="PASS",B12="FAIL"),B12,IF(B12&gt;0,"PASS","FAIL"))</x:f>
        <x:v>PASS</x:v>
      </x:c>
    </x:row>
    <x:row r="13" ht="34" customHeight="1">
      <x:c r="A13" s="31" t="str">
        <x:v>لا يوجد MiniMax M3 ضمن التسعير</x:v>
      </x:c>
      <x:c r="B13" s="31" t="str">
        <x:f>IF(COUNTIF('السيناريوهات'!C6:C19,"MiniMax M3")=0,"PASS","FAIL")</x:f>
        <x:v>PASS</x:v>
      </x:c>
      <x:c r="C13" s="31" t="str">
        <x:v>PASS</x:v>
      </x:c>
      <x:c r="D13" s="31" t="str">
        <x:f>IF(OR(B13="PASS",B13="FAIL"),B13,IF(B13&gt;0,"PASS","FAIL"))</x:f>
        <x:v>PASS</x:v>
      </x:c>
    </x:row>
    <x:row r="15" ht="25" customHeight="1">
      <x:c r="A15" s="13" t="str">
        <x:v>تنبيه تعاقدي</x:v>
      </x:c>
      <x:c r="B15" s="13"/>
      <x:c r="C15" s="13"/>
      <x:c r="D15" s="13"/>
    </x:row>
    <x:row r="16">
      <x:c r="A16" s="84" t="str">
        <x:v>هذا المصنف دراسة Feasibility/Procurement وليس ضمان أداء. الالتزام بـ75 tok/s لكل مستخدم يصبح تعاقدياً فقط بعد POC على نفس الموديل والكمّية ونسخة llama.cpp والسياق وإعدادات batching المستخدمة في الإنتاج.</x:v>
      </x:c>
      <x:c r="B16" s="85"/>
      <x:c r="C16" s="85"/>
      <x:c r="D16" s="86"/>
    </x:row>
    <x:row r="17">
      <x:c r="A17" s="87"/>
      <x:c r="B17" s="88"/>
      <x:c r="C17" s="88"/>
      <x:c r="D17" s="89"/>
    </x:row>
    <x:row r="18">
      <x:c r="A18" s="90"/>
      <x:c r="B18" s="91"/>
      <x:c r="C18" s="91"/>
      <x:c r="D18" s="92"/>
    </x:row>
  </x:sheetData>
  <x:mergeCells>
    <x:mergeCell ref="A1:D1"/>
    <x:mergeCell ref="A2:D2"/>
    <x:mergeCell ref="A4:D4"/>
    <x:mergeCell ref="A15:D15"/>
    <x:mergeCell ref="A16:D18"/>
  </x:mergeCells>
  <x:conditionalFormatting sqref="D6:D13">
    <x:cfRule type="containsText" dxfId="1" priority="1" operator="containsText" text="PASS"/>
    <x:cfRule type="containsText" dxfId="2" priority="2" operator="containsText" text="FAIL"/>
  </x:conditionalFormatting>
  <x:pageMargins left="0.7" right="0.7" top="0.75" bottom="0.75" header="0.3" footer="0.3"/>
</x:worksheet>
</file>