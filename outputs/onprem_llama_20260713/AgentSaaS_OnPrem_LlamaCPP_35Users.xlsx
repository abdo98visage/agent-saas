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4ff2af1a4343c6" /></Relationships>
</file>

<file path=xl/workbook.xml><?xml version="1.0" encoding="utf-8"?>
<x:workbook xmlns:x="http://schemas.openxmlformats.org/spreadsheetml/2006/main">
  <x:sheets>
    <x:sheet xmlns:r="http://schemas.openxmlformats.org/officeDocument/2006/relationships" name="الملخص" sheetId="1" r:id="R9b87610cf0fb4e15"/>
    <x:sheet xmlns:r="http://schemas.openxmlformats.org/officeDocument/2006/relationships" name="المقارنة" sheetId="2" r:id="R8ab9373a93e84e1b"/>
    <x:sheet xmlns:r="http://schemas.openxmlformats.org/officeDocument/2006/relationships" name="التكلفة" sheetId="3" r:id="R4a102dbde1b94b96"/>
    <x:sheet xmlns:r="http://schemas.openxmlformats.org/officeDocument/2006/relationships" name="الموديلات" sheetId="4" r:id="Rfa764250c6034dd5"/>
    <x:sheet xmlns:r="http://schemas.openxmlformats.org/officeDocument/2006/relationships" name="المعايير" sheetId="5" r:id="R44a10d21f8904b9b"/>
    <x:sheet xmlns:r="http://schemas.openxmlformats.org/officeDocument/2006/relationships" name="الافتراضات والمصادر" sheetId="6" r:id="Rd9f2dbb57e8a45a8"/>
    <x:sheet xmlns:r="http://schemas.openxmlformats.org/officeDocument/2006/relationships" name="الفحوصات" sheetId="7" r:id="R26960e7735f04950"/>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00"/>
    <x:numFmt numFmtId="202" formatCode="$#,##0.00"/>
    <x:numFmt numFmtId="203" formatCode="#,##0 &quot;ر.س&quot;"/>
    <x:numFmt numFmtId="204" formatCode="#,##0.0"/>
    <x:numFmt numFmtId="205" formatCode="0.0"/>
    <x:numFmt numFmtId="206" formatCode="+0.0;-0.0;0.0"/>
  </x:numFmts>
  <x:fonts count="16">
    <x:font>
      <x:sz val="11"/>
      <x:name val="Carlito"/>
    </x:font>
    <x:font>
      <x:b/>
      <x:sz val="22"/>
      <x:color rgb="FFFFFFFF"/>
      <x:name val="Arial"/>
    </x:font>
    <x:font>
      <x:sz val="10"/>
      <x:color rgb="FF17324D"/>
      <x:name val="Arial"/>
    </x:font>
    <x:font>
      <x:b/>
      <x:sz val="12"/>
      <x:color rgb="FFFFFFFF"/>
      <x:name val="Arial"/>
    </x:font>
    <x:font>
      <x:b/>
      <x:sz val="10"/>
      <x:color rgb="FFFFFFFF"/>
      <x:name val="Arial"/>
    </x:font>
    <x:font>
      <x:sz val="10"/>
      <x:color rgb="FF1F2933"/>
      <x:name val="Arial"/>
    </x:font>
    <x:font>
      <x:b/>
      <x:sz val="10"/>
      <x:color rgb="FF0B69A3"/>
      <x:name val="Arial"/>
    </x:font>
    <x:font>
      <x:sz val="9"/>
      <x:color rgb="FF1F2933"/>
      <x:name val="Arial"/>
    </x:font>
    <x:font>
      <x:b/>
      <x:sz val="10"/>
      <x:color rgb="FFB7791F"/>
      <x:name val="Arial"/>
    </x:font>
    <x:font>
      <x:b/>
      <x:sz val="11"/>
      <x:color rgb="FF1F2933"/>
      <x:name val="Arial"/>
    </x:font>
    <x:font>
      <x:b/>
      <x:sz val="10"/>
      <x:color rgb="FF177245"/>
      <x:name val="Arial"/>
    </x:font>
    <x:font>
      <x:sz val="10"/>
      <x:color rgb="FF177245"/>
      <x:name val="Arial"/>
    </x:font>
    <x:font>
      <x:b/>
      <x:sz val="10"/>
      <x:color rgb="FF1F2933"/>
      <x:name val="Arial"/>
    </x:font>
    <x:font>
      <x:b/>
      <x:sz val="10"/>
      <x:color rgb="FFB42318"/>
      <x:name val="Arial"/>
    </x:font>
    <x:font>
      <x:b/>
      <x:sz val="11"/>
      <x:color rgb="FF17324D"/>
      <x:name val="Arial"/>
    </x:font>
    <x:font>
      <x:b/>
      <x:sz val="12"/>
      <x:color rgb="FF177245"/>
      <x:name val="Arial"/>
    </x:font>
  </x:fonts>
  <x:fills count="12">
    <x:fill>
      <x:patternFill patternType="none"/>
    </x:fill>
    <x:fill>
      <x:patternFill patternType="gray125"/>
    </x:fill>
    <x:fill>
      <x:patternFill patternType="solid">
        <x:fgColor rgb="FF17324D"/>
      </x:patternFill>
    </x:fill>
    <x:fill>
      <x:patternFill patternType="solid">
        <x:fgColor rgb="FFE6F4F1"/>
      </x:patternFill>
    </x:fill>
    <x:fill>
      <x:patternFill patternType="solid">
        <x:fgColor rgb="FF006D77"/>
      </x:patternFill>
    </x:fill>
    <x:fill>
      <x:patternFill patternType="solid">
        <x:fgColor rgb="FF244B6B"/>
      </x:patternFill>
    </x:fill>
    <x:fill>
      <x:patternFill patternType="solid">
        <x:fgColor rgb="FFFFFFFF"/>
      </x:patternFill>
    </x:fill>
    <x:fill>
      <x:patternFill patternType="solid">
        <x:fgColor rgb="FFFFF4D6"/>
      </x:patternFill>
    </x:fill>
    <x:fill>
      <x:patternFill patternType="solid">
        <x:fgColor rgb="FFF3F5F7"/>
      </x:patternFill>
    </x:fill>
    <x:fill>
      <x:patternFill patternType="solid">
        <x:fgColor rgb="FFE7F4EC"/>
      </x:patternFill>
    </x:fill>
    <x:fill>
      <x:patternFill patternType="solid">
        <x:fgColor rgb="FFE8F1F8"/>
      </x:patternFill>
    </x:fill>
    <x:fill>
      <x:patternFill patternType="solid">
        <x:fgColor rgb="FFFDECEC"/>
      </x:patternFill>
    </x:fill>
  </x:fills>
  <x:borders count="1">
    <x:border/>
  </x:borders>
  <x:cellStyleXfs count="1">
    <x:xf numFmtId="0" fontId="0" fillId="0" borderId="0"/>
  </x:cellStyleXfs>
  <x:cellXfs count="1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right"/>
    </x:xf>
    <x:xf numFmtId="0" fontId="1" fillId="2" borderId="0" xfId="0" applyNumberFormat="1" applyFont="1" applyFill="1" applyBorder="1" applyAlignment="1">
      <x:alignment horizontal="righ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right"/>
    </x:xf>
    <x:xf numFmtId="0" fontId="3" fillId="4" borderId="0" xfId="0" applyNumberFormat="1" applyFont="1" applyFill="1" applyBorder="1" applyAlignment="1">
      <x:alignment horizontal="righ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right" wrapText="1"/>
    </x:xf>
    <x:xf numFmtId="0" fontId="5" fillId="6" borderId="0" xfId="0" applyNumberFormat="1" applyFont="1" applyFill="1" applyBorder="1" applyAlignment="1">
      <x:alignment horizontal="right" vertical="center" wrapText="1"/>
    </x:xf>
    <x:xf numFmtId="0" fontId="5" fillId="7" borderId="0" xfId="0" applyNumberFormat="1" applyFont="1" applyFill="1" applyBorder="1" applyAlignment="1">
      <x:alignment horizontal="right" vertical="center" wrapText="1"/>
    </x:xf>
    <x:xf numFmtId="0" fontId="6" fillId="7" borderId="0" xfId="0" applyNumberFormat="1" applyFont="1" applyFill="1" applyBorder="1" applyAlignment="1">
      <x:alignment horizontal="right" vertical="center" wrapText="1"/>
    </x:xf>
    <x:xf numFmtId="0" fontId="6" fillId="7" borderId="0" xfId="0" applyNumberFormat="1" applyFont="1" applyFill="1" applyBorder="1" applyAlignment="1">
      <x:alignment horizontal="center" vertical="center" wrapText="1"/>
    </x:xf>
    <x:xf numFmtId="200" fontId="6" fillId="7" borderId="0" xfId="0" applyNumberFormat="1" applyFont="1" applyFill="1" applyBorder="1" applyAlignment="1">
      <x:alignment horizontal="center" vertical="center" wrapText="1"/>
    </x:xf>
    <x:xf numFmtId="201" fontId="6" fillId="7" borderId="0" xfId="0" applyNumberFormat="1" applyFont="1" applyFill="1" applyBorder="1" applyAlignment="1">
      <x:alignment horizontal="center" vertical="center" wrapText="1"/>
    </x:xf>
    <x:xf numFmtId="202" fontId="6" fillId="7" borderId="0" xfId="0" applyNumberFormat="1" applyFont="1" applyFill="1" applyBorder="1" applyAlignment="1">
      <x:alignment horizontal="center" vertical="center" wrapText="1"/>
    </x:xf>
    <x:xf numFmtId="0" fontId="5" fillId="8" borderId="0" xfId="0" applyNumberFormat="1" applyFont="1" applyFill="1" applyBorder="1" applyAlignment="1">
      <x:alignment horizontal="right" vertical="center" wrapText="1"/>
    </x:xf>
    <x:xf numFmtId="0" fontId="6" fillId="8" borderId="0" xfId="0" applyNumberFormat="1" applyFont="1" applyFill="1" applyBorder="1" applyAlignment="1">
      <x:alignment horizontal="center" vertical="center" wrapText="1"/>
    </x:xf>
    <x:xf numFmtId="200" fontId="6" fillId="8" borderId="0" xfId="0" applyNumberFormat="1" applyFont="1" applyFill="1" applyBorder="1" applyAlignment="1">
      <x:alignment horizontal="center" vertical="center" wrapText="1"/>
    </x:xf>
    <x:xf numFmtId="201" fontId="6" fillId="8" borderId="0" xfId="0" applyNumberFormat="1" applyFont="1" applyFill="1" applyBorder="1" applyAlignment="1">
      <x:alignment horizontal="center" vertical="center" wrapText="1"/>
    </x:xf>
    <x:xf numFmtId="202" fontId="6" fillId="8" borderId="0" xfId="0" applyNumberFormat="1" applyFont="1" applyFill="1" applyBorder="1" applyAlignment="1">
      <x:alignment horizontal="center" vertical="center" wrapText="1"/>
    </x:xf>
    <x:xf numFmtId="203" fontId="6" fillId="7" borderId="0" xfId="0" applyNumberFormat="1" applyFont="1" applyFill="1" applyBorder="1" applyAlignment="1">
      <x:alignment horizontal="center" vertical="center" wrapText="1"/>
    </x:xf>
    <x:xf numFmtId="204" fontId="6" fillId="7" borderId="0" xfId="0" applyNumberFormat="1" applyFont="1" applyFill="1" applyBorder="1" applyAlignment="1">
      <x:alignment horizontal="center" vertical="center" wrapText="1"/>
    </x:xf>
    <x:xf numFmtId="203" fontId="6" fillId="8" borderId="0" xfId="0" applyNumberFormat="1" applyFont="1" applyFill="1" applyBorder="1" applyAlignment="1">
      <x:alignment horizontal="center" vertical="center" wrapText="1"/>
    </x:xf>
    <x:xf numFmtId="204" fontId="6" fillId="8" borderId="0" xfId="0" applyNumberFormat="1" applyFont="1" applyFill="1" applyBorder="1" applyAlignment="1">
      <x:alignment horizontal="center" vertical="center" wrapText="1"/>
    </x:xf>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right" wrapText="1"/>
    </x:xf>
    <x:xf numFmtId="0" fontId="7" fillId="6" borderId="0" xfId="0" applyNumberFormat="1" applyFont="1" applyFill="1" applyBorder="1" applyAlignment="1">
      <x:alignment horizontal="right" vertical="center" wrapText="1"/>
    </x:xf>
    <x:xf numFmtId="0" fontId="7" fillId="8" borderId="0" xfId="0" applyNumberFormat="1" applyFont="1" applyFill="1" applyBorder="1" applyAlignment="1">
      <x:alignment horizontal="right" vertical="center" wrapText="1"/>
    </x:xf>
    <x:xf numFmtId="0" fontId="7" fillId="6" borderId="0" xfId="0" applyNumberFormat="1" applyFont="1" applyFill="1" applyBorder="1" applyAlignment="1">
      <x:alignment horizontal="center" vertical="center" wrapText="1"/>
    </x:xf>
    <x:xf numFmtId="0" fontId="7" fillId="8" borderId="0" xfId="0" applyNumberFormat="1" applyFont="1" applyFill="1" applyBorder="1" applyAlignment="1">
      <x:alignment horizontal="center"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right" wrapText="1"/>
    </x:xf>
    <x:xf numFmtId="0" fontId="8" fillId="7" borderId="0" xfId="0" applyNumberFormat="1" applyFont="1" applyFill="1" applyBorder="1" applyAlignment="1">
      <x:alignment horizontal="right" vertical="center" wrapText="1"/>
    </x:xf>
    <x:xf numFmtId="200" fontId="5" fillId="6" borderId="0" xfId="0" applyNumberFormat="1" applyFont="1" applyFill="1" applyBorder="1" applyAlignment="1">
      <x:alignment horizontal="right" vertical="center" wrapText="1"/>
    </x:xf>
    <x:xf numFmtId="205" fontId="5" fillId="6" borderId="0" xfId="0" applyNumberFormat="1" applyFont="1" applyFill="1" applyBorder="1" applyAlignment="1">
      <x:alignment horizontal="right" vertical="center" wrapText="1"/>
    </x:xf>
    <x:xf numFmtId="200" fontId="5" fillId="8" borderId="0" xfId="0" applyNumberFormat="1" applyFont="1" applyFill="1" applyBorder="1" applyAlignment="1">
      <x:alignment horizontal="right" vertical="center" wrapText="1"/>
    </x:xf>
    <x:xf numFmtId="205" fontId="5" fillId="8" borderId="0" xfId="0" applyNumberFormat="1" applyFont="1" applyFill="1" applyBorder="1" applyAlignment="1">
      <x:alignment horizontal="right"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right" wrapText="1"/>
    </x:xf>
    <x:xf numFmtId="0" fontId="5" fillId="9" borderId="0" xfId="0" applyNumberFormat="1" applyFont="1" applyFill="1" applyBorder="1" applyAlignment="1">
      <x:alignment horizontal="right" vertical="center" wrapText="1"/>
    </x:xf>
    <x:xf numFmtId="0" fontId="9" fillId="9" borderId="0" xfId="0" applyNumberFormat="1" applyFont="1" applyFill="1" applyBorder="1" applyAlignment="1">
      <x:alignment horizontal="right" vertical="center" wrapText="1"/>
    </x:xf>
    <x:xf numFmtId="205" fontId="9" fillId="9" borderId="0" xfId="0" applyNumberFormat="1" applyFont="1" applyFill="1" applyBorder="1" applyAlignment="1">
      <x:alignment horizontal="right" vertical="center" wrapText="1"/>
    </x:xf>
    <x:xf numFmtId="205" fontId="9" fillId="9" borderId="0" xfId="0" applyNumberFormat="1" applyFont="1" applyFill="1" applyBorder="1" applyAlignment="1">
      <x:alignment horizontal="center" vertical="center" wrapText="1"/>
    </x:xf>
    <x:xf numFmtId="206" fontId="5" fillId="6" borderId="0" xfId="0" applyNumberFormat="1" applyFont="1" applyFill="1" applyBorder="1" applyAlignment="1">
      <x:alignment horizontal="right" vertical="center" wrapText="1"/>
    </x:xf>
    <x:xf numFmtId="206" fontId="5" fillId="6" borderId="0" xfId="0" applyNumberFormat="1" applyFont="1" applyFill="1" applyBorder="1" applyAlignment="1">
      <x:alignment horizontal="center" vertical="center" wrapText="1"/>
    </x:xf>
    <x:xf numFmtId="206" fontId="5" fillId="8"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3" fontId="5" fillId="6" borderId="0" xfId="0" applyNumberFormat="1" applyFont="1" applyFill="1" applyBorder="1" applyAlignment="1">
      <x:alignment horizontal="center" vertical="center" wrapText="1"/>
    </x:xf>
    <x:xf numFmtId="204" fontId="5" fillId="6" borderId="0" xfId="0" applyNumberFormat="1" applyFont="1" applyFill="1" applyBorder="1" applyAlignment="1">
      <x:alignment horizontal="center" vertical="center" wrapText="1"/>
    </x:xf>
    <x:xf numFmtId="205" fontId="5" fillId="6" borderId="0" xfId="0" applyNumberFormat="1" applyFont="1" applyFill="1" applyBorder="1" applyAlignment="1">
      <x:alignment horizontal="center" vertical="center" wrapText="1"/>
    </x:xf>
    <x:xf numFmtId="203" fontId="10" fillId="6" borderId="0" xfId="0" applyNumberFormat="1" applyFont="1" applyFill="1" applyBorder="1" applyAlignment="1">
      <x:alignment horizontal="center" vertical="center" wrapText="1"/>
    </x:xf>
    <x:xf numFmtId="0" fontId="11" fillId="6" borderId="0" xfId="0" applyNumberFormat="1" applyFont="1" applyFill="1" applyBorder="1" applyAlignment="1">
      <x:alignment horizontal="center" vertical="center" wrapText="1"/>
    </x:xf>
    <x:xf numFmtId="204" fontId="11" fillId="6" borderId="0" xfId="0" applyNumberFormat="1" applyFont="1" applyFill="1" applyBorder="1" applyAlignment="1">
      <x:alignment horizontal="center" vertical="center" wrapText="1"/>
    </x:xf>
    <x:xf numFmtId="205" fontId="11" fillId="6" borderId="0" xfId="0" applyNumberFormat="1" applyFont="1" applyFill="1" applyBorder="1" applyAlignment="1">
      <x:alignment horizontal="center" vertical="center" wrapText="1"/>
    </x:xf>
    <x:xf numFmtId="203" fontId="10" fillId="10" borderId="0" xfId="0" applyNumberFormat="1" applyFont="1" applyFill="1" applyBorder="1" applyAlignment="1">
      <x:alignment horizontal="center" vertical="center" wrapText="1"/>
    </x:xf>
    <x:xf numFmtId="0" fontId="5" fillId="10" borderId="0" xfId="0" applyNumberFormat="1" applyFont="1" applyFill="1" applyBorder="1" applyAlignment="1">
      <x:alignment horizontal="center" vertical="center" wrapText="1"/>
    </x:xf>
    <x:xf numFmtId="0" fontId="11" fillId="10" borderId="0" xfId="0" applyNumberFormat="1" applyFont="1" applyFill="1" applyBorder="1" applyAlignment="1">
      <x:alignment horizontal="center" vertical="center" wrapText="1"/>
    </x:xf>
    <x:xf numFmtId="204" fontId="11" fillId="10" borderId="0" xfId="0" applyNumberFormat="1" applyFont="1" applyFill="1" applyBorder="1" applyAlignment="1">
      <x:alignment horizontal="center" vertical="center" wrapText="1"/>
    </x:xf>
    <x:xf numFmtId="205" fontId="5" fillId="10" borderId="0" xfId="0" applyNumberFormat="1" applyFont="1" applyFill="1" applyBorder="1" applyAlignment="1">
      <x:alignment horizontal="center" vertical="center" wrapText="1"/>
    </x:xf>
    <x:xf numFmtId="205" fontId="11" fillId="10" borderId="0" xfId="0" applyNumberFormat="1" applyFont="1" applyFill="1" applyBorder="1" applyAlignment="1">
      <x:alignment horizontal="center" vertical="center" wrapText="1"/>
    </x:xf>
    <x:xf numFmtId="203" fontId="10" fillId="9" borderId="0" xfId="0" applyNumberFormat="1" applyFont="1" applyFill="1" applyBorder="1" applyAlignment="1">
      <x:alignment horizontal="center" vertical="center" wrapText="1"/>
    </x:xf>
    <x:xf numFmtId="0" fontId="5" fillId="9" borderId="0" xfId="0" applyNumberFormat="1" applyFont="1" applyFill="1" applyBorder="1" applyAlignment="1">
      <x:alignment horizontal="center" vertical="center" wrapText="1"/>
    </x:xf>
    <x:xf numFmtId="0" fontId="11" fillId="9" borderId="0" xfId="0" applyNumberFormat="1" applyFont="1" applyFill="1" applyBorder="1" applyAlignment="1">
      <x:alignment horizontal="center" vertical="center" wrapText="1"/>
    </x:xf>
    <x:xf numFmtId="204" fontId="11" fillId="9" borderId="0" xfId="0" applyNumberFormat="1" applyFont="1" applyFill="1" applyBorder="1" applyAlignment="1">
      <x:alignment horizontal="center" vertical="center" wrapText="1"/>
    </x:xf>
    <x:xf numFmtId="205" fontId="5" fillId="9" borderId="0" xfId="0" applyNumberFormat="1" applyFont="1" applyFill="1" applyBorder="1" applyAlignment="1">
      <x:alignment horizontal="center" vertical="center" wrapText="1"/>
    </x:xf>
    <x:xf numFmtId="205" fontId="11" fillId="9" borderId="0" xfId="0" applyNumberFormat="1" applyFont="1" applyFill="1" applyBorder="1" applyAlignment="1">
      <x:alignment horizontal="center" vertical="center" wrapText="1"/>
    </x:xf>
    <x:xf numFmtId="203" fontId="10"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11" fillId="7" borderId="0" xfId="0" applyNumberFormat="1" applyFont="1" applyFill="1" applyBorder="1" applyAlignment="1">
      <x:alignment horizontal="center" vertical="center" wrapText="1"/>
    </x:xf>
    <x:xf numFmtId="204" fontId="11" fillId="7" borderId="0" xfId="0" applyNumberFormat="1" applyFont="1" applyFill="1" applyBorder="1" applyAlignment="1">
      <x:alignment horizontal="center" vertical="center" wrapText="1"/>
    </x:xf>
    <x:xf numFmtId="205" fontId="5" fillId="7" borderId="0" xfId="0" applyNumberFormat="1" applyFont="1" applyFill="1" applyBorder="1" applyAlignment="1">
      <x:alignment horizontal="center" vertical="center" wrapText="1"/>
    </x:xf>
    <x:xf numFmtId="205" fontId="11" fillId="7"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right" vertical="center" wrapText="1"/>
    </x:xf>
    <x:xf numFmtId="0" fontId="4" fillId="5" borderId="0" xfId="0" applyNumberFormat="1" applyFont="1" applyFill="1" applyBorder="1" applyAlignment="1">
      <x:alignment horizontal="right" vertical="center" wrapText="1"/>
    </x:xf>
    <x:xf numFmtId="0" fontId="10" fillId="9" borderId="0" xfId="0" applyNumberFormat="1" applyFont="1" applyFill="1" applyBorder="1" applyAlignment="1">
      <x:alignment horizontal="right" vertical="center" wrapText="1"/>
    </x:xf>
    <x:xf numFmtId="0" fontId="11" fillId="6" borderId="0" xfId="0" applyNumberFormat="1" applyFont="1" applyFill="1" applyBorder="1" applyAlignment="1">
      <x:alignment horizontal="right" vertical="center" wrapText="1"/>
    </x:xf>
    <x:xf numFmtId="0" fontId="11" fillId="8" borderId="0" xfId="0" applyNumberFormat="1" applyFont="1" applyFill="1" applyBorder="1" applyAlignment="1">
      <x:alignment horizontal="right" vertical="center" wrapText="1"/>
    </x:xf>
    <x:xf numFmtId="0" fontId="10" fillId="6" borderId="0" xfId="0" applyNumberFormat="1" applyFont="1" applyFill="1" applyBorder="1" applyAlignment="1">
      <x:alignment horizontal="right" vertical="center" wrapText="1"/>
    </x:xf>
    <x:xf numFmtId="203" fontId="11" fillId="6" borderId="0" xfId="0" applyNumberFormat="1" applyFont="1" applyFill="1" applyBorder="1" applyAlignment="1">
      <x:alignment horizontal="right" vertical="center" wrapText="1"/>
    </x:xf>
    <x:xf numFmtId="203" fontId="11" fillId="8" borderId="0" xfId="0" applyNumberFormat="1" applyFont="1" applyFill="1" applyBorder="1" applyAlignment="1">
      <x:alignment horizontal="right" vertical="center" wrapText="1"/>
    </x:xf>
    <x:xf numFmtId="203" fontId="5" fillId="6" borderId="0" xfId="0" applyNumberFormat="1" applyFont="1" applyFill="1" applyBorder="1" applyAlignment="1">
      <x:alignment horizontal="right" vertical="center" wrapText="1"/>
    </x:xf>
    <x:xf numFmtId="203" fontId="10" fillId="6" borderId="0" xfId="0" applyNumberFormat="1" applyFont="1" applyFill="1" applyBorder="1" applyAlignment="1">
      <x:alignment horizontal="right" vertical="center" wrapText="1"/>
    </x:xf>
    <x:xf numFmtId="203" fontId="5" fillId="5" borderId="0" xfId="0" applyNumberFormat="1" applyFont="1" applyFill="1" applyBorder="1" applyAlignment="1">
      <x:alignment horizontal="right" vertical="center" wrapText="1"/>
    </x:xf>
    <x:xf numFmtId="203" fontId="4" fillId="5" borderId="0" xfId="0" applyNumberFormat="1" applyFont="1" applyFill="1" applyBorder="1" applyAlignment="1">
      <x:alignment horizontal="right" vertical="center" wrapText="1"/>
    </x:xf>
    <x:xf numFmtId="203" fontId="5" fillId="9" borderId="0" xfId="0" applyNumberFormat="1" applyFont="1" applyFill="1" applyBorder="1" applyAlignment="1">
      <x:alignment horizontal="right" vertical="center" wrapText="1"/>
    </x:xf>
    <x:xf numFmtId="203" fontId="10" fillId="9" borderId="0" xfId="0" applyNumberFormat="1" applyFont="1" applyFill="1" applyBorder="1" applyAlignment="1">
      <x:alignment horizontal="right" vertical="center" wrapText="1"/>
    </x:xf>
    <x:xf numFmtId="203" fontId="5" fillId="8" borderId="0" xfId="0" applyNumberFormat="1" applyFont="1" applyFill="1" applyBorder="1" applyAlignment="1">
      <x:alignment horizontal="right" vertical="center" wrapText="1"/>
    </x:xf>
    <x:xf numFmtId="0" fontId="12" fillId="8" borderId="0" xfId="0" applyNumberFormat="1" applyFont="1" applyFill="1" applyBorder="1" applyAlignment="1">
      <x:alignment horizontal="right" vertical="center" wrapText="1"/>
    </x:xf>
    <x:xf numFmtId="203" fontId="12" fillId="8" borderId="0" xfId="0" applyNumberFormat="1" applyFont="1" applyFill="1" applyBorder="1" applyAlignment="1">
      <x:alignment horizontal="right" vertical="center" wrapText="1"/>
    </x:xf>
    <x:xf numFmtId="0" fontId="0"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wrapText="1"/>
    </x:xf>
    <x:xf numFmtId="0" fontId="13" fillId="11" borderId="0" xfId="0" applyNumberFormat="1" applyFont="1" applyFill="1" applyBorder="1" applyAlignment="1">
      <x:alignment horizontal="right" wrapText="1"/>
    </x:xf>
    <x:xf numFmtId="0" fontId="13" fillId="11" borderId="0" xfId="0" applyNumberFormat="1" applyFont="1" applyFill="1" applyBorder="1" applyAlignment="1">
      <x:alignment horizontal="right" vertical="center" wrapText="1"/>
    </x:xf>
    <x:xf numFmtId="0" fontId="7" fillId="9" borderId="0" xfId="0" applyNumberFormat="1" applyFont="1" applyFill="1" applyBorder="1" applyAlignment="1">
      <x:alignment horizontal="right" vertical="center" wrapText="1"/>
    </x:xf>
    <x:xf numFmtId="0" fontId="14" fillId="3" borderId="0" xfId="0" applyNumberFormat="1" applyFont="1" applyFill="1" applyBorder="1"/>
    <x:xf numFmtId="0" fontId="14" fillId="3" borderId="0" xfId="0" applyNumberFormat="1" applyFont="1" applyFill="1" applyBorder="1" applyAlignment="1">
      <x:alignment wrapText="1"/>
    </x:xf>
    <x:xf numFmtId="0" fontId="14" fillId="3" borderId="0" xfId="0" applyNumberFormat="1" applyFont="1" applyFill="1" applyBorder="1" applyAlignment="1">
      <x:alignment horizontal="right" wrapText="1"/>
    </x:xf>
    <x:xf numFmtId="0" fontId="14" fillId="3" borderId="0" xfId="0" applyNumberFormat="1" applyFont="1" applyFill="1" applyBorder="1" applyAlignment="1">
      <x:alignment horizontal="right" vertical="center" wrapText="1"/>
    </x:xf>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right" wrapText="1"/>
    </x:xf>
    <x:xf numFmtId="0" fontId="15" fillId="9" borderId="0" xfId="0" applyNumberFormat="1" applyFont="1" applyFill="1" applyBorder="1" applyAlignment="1">
      <x:alignment horizontal="right" vertical="center" wrapText="1"/>
    </x:xf>
    <x:xf numFmtId="203" fontId="5" fillId="10" borderId="0" xfId="0" applyNumberFormat="1" applyFont="1" applyFill="1" applyBorder="1" applyAlignment="1">
      <x:alignment horizontal="center" vertical="center" wrapText="1"/>
    </x:xf>
    <x:xf numFmtId="203" fontId="5" fillId="9" borderId="0" xfId="0" applyNumberFormat="1" applyFont="1" applyFill="1" applyBorder="1" applyAlignment="1">
      <x:alignment horizontal="center" vertical="center" wrapText="1"/>
    </x:xf>
    <x:xf numFmtId="203" fontId="5" fillId="7" borderId="0" xfId="0" applyNumberFormat="1" applyFont="1" applyFill="1" applyBorder="1" applyAlignment="1">
      <x:alignment horizontal="center" vertical="center" wrapText="1"/>
    </x:xf>
    <x:xf numFmtId="203" fontId="11" fillId="10" borderId="0" xfId="0" applyNumberFormat="1" applyFont="1" applyFill="1" applyBorder="1" applyAlignment="1">
      <x:alignment horizontal="center" vertical="center" wrapText="1"/>
    </x:xf>
    <x:xf numFmtId="203" fontId="11" fillId="9" borderId="0" xfId="0" applyNumberFormat="1" applyFont="1" applyFill="1" applyBorder="1" applyAlignment="1">
      <x:alignment horizontal="center" vertical="center" wrapText="1"/>
    </x:xf>
    <x:xf numFmtId="203" fontId="11" fillId="7" borderId="0" xfId="0" applyNumberFormat="1" applyFont="1" applyFill="1" applyBorder="1" applyAlignment="1">
      <x:alignment horizontal="center" vertical="center" wrapText="1"/>
    </x:xf>
    <x:xf numFmtId="204" fontId="5" fillId="6" borderId="0" xfId="0" applyNumberFormat="1" applyFont="1" applyFill="1" applyBorder="1" applyAlignment="1">
      <x:alignment horizontal="right" vertical="center" wrapText="1"/>
    </x:xf>
    <x:xf numFmtId="204" fontId="5" fillId="8" borderId="0" xfId="0" applyNumberFormat="1" applyFont="1" applyFill="1" applyBorder="1" applyAlignment="1">
      <x:alignment horizontal="right" vertical="center" wrapText="1"/>
    </x:xf>
    <x:xf numFmtId="0" fontId="10" fillId="9" borderId="0"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fe34b6b4484d04" /><Relationship Type="http://schemas.openxmlformats.org/officeDocument/2006/relationships/theme" Target="/xl/theme/theme1.xml" Id="Rd565f2f49cef441e" /><Relationship Type="http://schemas.openxmlformats.org/officeDocument/2006/relationships/sharedStrings" Target="/xl/sharedStrings.xml" Id="R5f7918c13e5e4086" /><Relationship Type="http://schemas.openxmlformats.org/officeDocument/2006/relationships/worksheet" Target="/xl/worksheets/sheet1.xml" Id="R9b87610cf0fb4e15" /><Relationship Type="http://schemas.openxmlformats.org/officeDocument/2006/relationships/worksheet" Target="/xl/worksheets/sheet2.xml" Id="R8ab9373a93e84e1b" /><Relationship Type="http://schemas.openxmlformats.org/officeDocument/2006/relationships/worksheet" Target="/xl/worksheets/sheet3.xml" Id="R4a102dbde1b94b96" /><Relationship Type="http://schemas.openxmlformats.org/officeDocument/2006/relationships/worksheet" Target="/xl/worksheets/sheet4.xml" Id="Rfa764250c6034dd5" /><Relationship Type="http://schemas.openxmlformats.org/officeDocument/2006/relationships/worksheet" Target="/xl/worksheets/sheet5.xml" Id="R44a10d21f8904b9b" /><Relationship Type="http://schemas.openxmlformats.org/officeDocument/2006/relationships/worksheet" Target="/xl/worksheets/sheet6.xml" Id="Rd9f2dbb57e8a45a8" /><Relationship Type="http://schemas.openxmlformats.org/officeDocument/2006/relationships/worksheet" Target="/xl/worksheets/sheet7.xml" Id="R26960e7735f04950" /></Relationships>
</file>

<file path=xl/drawings/_rels/drawing1.xml.rels>&#65279;<?xml version="1.0" encoding="utf-8"?><Relationships xmlns="http://schemas.openxmlformats.org/package/2006/relationships"><Relationship Type="http://schemas.openxmlformats.org/officeDocument/2006/relationships/chart" Target="/xl/drawings/charts/chart1.xml" Id="R75c3e02a1ef443a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قوة المهام الوكيلة حسب الميزانية</a:t>
            </a:r>
          </a:p>
        </c:rich>
      </c:tx>
    </c:title>
    <c:plotArea>
      <c:barChart>
        <c:barDir val="col"/>
        <c:varyColors val="0"/>
        <c:ser>
          <c:idx val="0"/>
          <c:order val="0"/>
          <c:tx>
            <c:v>مؤشر القوة</c:v>
          </c:tx>
          <c:cat>
            <c:strRef>
              <c:f>'الملخص'!$F$15:$F$17</c:f>
              <c:strCache>
                <c:ptCount val="0"/>
              </c:strCache>
            </c:strRef>
          </c:cat>
          <c:val>
            <c:numRef>
              <c:f>'الملخص'!$G$15:$G$17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18</xdr:row>
      <xdr:rowOff>0</xdr:rowOff>
    </xdr:from>
    <xdr:to>
      <xdr:col>10</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c3e02a1ef443a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d99729549ee473a"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7"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7" hidden="0" customWidth="1"/>
    <x:col min="10" max="10" width="17" hidden="0" customWidth="1"/>
  </x:cols>
  <x:sheetData>
    <x:row r="1" ht="38" customHeight="1">
      <x:c r="A1" s="4" t="str">
        <x:v>ملخص قرار البنية المحلية — AgentSaaS</x:v>
      </x:c>
      <x:c r="B1" s="4"/>
      <x:c r="C1" s="4"/>
      <x:c r="D1" s="4"/>
      <x:c r="E1" s="4"/>
      <x:c r="F1" s="4"/>
      <x:c r="G1" s="4"/>
      <x:c r="H1" s="4"/>
      <x:c r="I1" s="4"/>
      <x:c r="J1" s="4"/>
    </x:row>
    <x:row r="2" ht="32" customHeight="1">
      <x:c r="A2" s="9" t="str">
        <x:v>مقارنة تخطيطية لـ35 مستخدماً يولّدون بالتزامن عبر llama.cpp، بميزانيات 2/4/6 مليون ريال شاملة VAT.</x:v>
      </x:c>
      <x:c r="B2" s="9"/>
      <x:c r="C2" s="9"/>
      <x:c r="D2" s="9"/>
      <x:c r="E2" s="9"/>
      <x:c r="F2" s="9"/>
      <x:c r="G2" s="9"/>
      <x:c r="H2" s="9"/>
      <x:c r="I2" s="9"/>
      <x:c r="J2" s="9"/>
    </x:row>
    <x:row r="4">
      <x:c r="A4" s="123" t="str">
        <x:v>التوصية: 4 ملايين ريال هي نقطة التوازن الأفضل — Qwen3.5-122B-A10B على 4 خوادم RTX PRO (32 GPU/32 replicas). تعطي أعلى سرعة مشتركة وهوامش HA جيدة. باقة 6 ملايين تستخدم 2×B200 للموديل 397B + خادم RTX لمسار 122B؛ تشتري جودة أعلى للمهام الصعبة، بينما يحافظ routing الهجين على تجربة المهام الروتينية.</x:v>
      </x:c>
      <x:c r="B4" s="123"/>
      <x:c r="C4" s="123"/>
      <x:c r="D4" s="123"/>
      <x:c r="E4" s="123"/>
      <x:c r="F4" s="123"/>
      <x:c r="G4" s="123"/>
      <x:c r="H4" s="123"/>
      <x:c r="I4" s="123"/>
      <x:c r="J4" s="123"/>
    </x:row>
    <x:row r="5">
      <x:c r="A5" s="123"/>
      <x:c r="B5" s="123"/>
      <x:c r="C5" s="123"/>
      <x:c r="D5" s="123"/>
      <x:c r="E5" s="123"/>
      <x:c r="F5" s="123"/>
      <x:c r="G5" s="123"/>
      <x:c r="H5" s="123"/>
      <x:c r="I5" s="123"/>
      <x:c r="J5" s="123"/>
    </x:row>
    <x:row r="7" ht="34" customHeight="1">
      <x:c r="A7" s="18" t="str">
        <x:v>الميزانية</x:v>
      </x:c>
      <x:c r="B7" s="18" t="str">
        <x:v>الموديل</x:v>
      </x:c>
      <x:c r="C7" s="18" t="str">
        <x:v>Inference nodes</x:v>
      </x:c>
      <x:c r="D7" s="18" t="str">
        <x:v>GPU</x:v>
      </x:c>
      <x:c r="E7" s="18" t="str">
        <x:v>replicas رئيسية</x:v>
      </x:c>
      <x:c r="F7" s="18" t="str">
        <x:v>tok/s لكل مستخدم</x:v>
      </x:c>
      <x:c r="G7" s="18" t="str">
        <x:v>ثانية/800 token</x:v>
      </x:c>
      <x:c r="H7" s="18" t="str">
        <x:v>مؤشر القوة</x:v>
      </x:c>
    </x:row>
    <x:row r="8">
      <x:c r="A8" s="127" t="n">
        <x:f>'المقارنة'!A5</x:f>
        <x:v>2000000</x:v>
      </x:c>
      <x:c r="B8" s="77" t="str">
        <x:f>'المقارنة'!B5</x:f>
        <x:v>Qwen3.5-27B</x:v>
      </x:c>
      <x:c r="C8" s="77" t="n">
        <x:f>'المقارنة'!D5</x:f>
        <x:v>2</x:v>
      </x:c>
      <x:c r="D8" s="77" t="n">
        <x:f>'المقارنة'!E5</x:f>
        <x:v>16</x:v>
      </x:c>
      <x:c r="E8" s="77" t="n">
        <x:f>'المقارنة'!I5</x:f>
        <x:v>16</x:v>
      </x:c>
      <x:c r="F8" s="80" t="n">
        <x:f>'المقارنة'!O5</x:f>
        <x:v>29.714285714285715</x:v>
      </x:c>
      <x:c r="G8" s="80" t="n">
        <x:f>'المقارنة'!P5</x:f>
        <x:v>26.923076923076923</x:v>
      </x:c>
      <x:c r="H8" s="80" t="n">
        <x:f>'المقارنة'!R5</x:f>
        <x:v>56.49000000000001</x:v>
      </x:c>
    </x:row>
    <x:row r="9">
      <x:c r="A9" s="128" t="n">
        <x:f>'المقارنة'!A6</x:f>
        <x:v>4000000</x:v>
      </x:c>
      <x:c r="B9" s="83" t="str">
        <x:f>'المقارنة'!B6</x:f>
        <x:v>Qwen3.5-122B-A10B</x:v>
      </x:c>
      <x:c r="C9" s="83" t="n">
        <x:f>'المقارنة'!D6</x:f>
        <x:v>4</x:v>
      </x:c>
      <x:c r="D9" s="83" t="n">
        <x:f>'المقارنة'!E6</x:f>
        <x:v>32</x:v>
      </x:c>
      <x:c r="E9" s="83" t="n">
        <x:f>'المقارنة'!I6</x:f>
        <x:v>32</x:v>
      </x:c>
      <x:c r="F9" s="86" t="n">
        <x:f>'المقارنة'!O6</x:f>
        <x:v>45.714285714285715</x:v>
      </x:c>
      <x:c r="G9" s="86" t="n">
        <x:f>'المقارنة'!P6</x:f>
        <x:v>17.5</x:v>
      </x:c>
      <x:c r="H9" s="86" t="n">
        <x:f>'المقارنة'!R6</x:f>
        <x:v>59.065000000000005</x:v>
      </x:c>
    </x:row>
    <x:row r="10">
      <x:c r="A10" s="129" t="n">
        <x:f>'المقارنة'!A7</x:f>
        <x:v>6000000</x:v>
      </x:c>
      <x:c r="B10" s="89" t="str">
        <x:f>'المقارنة'!B7</x:f>
        <x:v>Qwen3.5-397B-A17B</x:v>
      </x:c>
      <x:c r="C10" s="89" t="n">
        <x:f>'المقارنة'!D7</x:f>
        <x:v>3</x:v>
      </x:c>
      <x:c r="D10" s="89" t="n">
        <x:f>'المقارنة'!E7</x:f>
        <x:v>24</x:v>
      </x:c>
      <x:c r="E10" s="89" t="n">
        <x:f>'المقارنة'!I7</x:f>
        <x:v>8</x:v>
      </x:c>
      <x:c r="F10" s="92" t="n">
        <x:f>'المقارنة'!O7</x:f>
        <x:v>18.285714285714285</x:v>
      </x:c>
      <x:c r="G10" s="92" t="n">
        <x:f>'المقارنة'!P7</x:f>
        <x:v>43.75</x:v>
      </x:c>
      <x:c r="H10" s="92" t="n">
        <x:f>'المقارنة'!R7</x:f>
        <x:v>64.04500000000002</x:v>
      </x:c>
    </x:row>
    <x:row r="13" ht="28" customHeight="1">
      <x:c r="A13" s="13" t="str">
        <x:v>متى تختار كل باقة؟</x:v>
      </x:c>
      <x:c r="B13" s="13"/>
      <x:c r="C13" s="13"/>
      <x:c r="D13" s="13"/>
    </x:row>
    <x:row r="14" ht="34" customHeight="1">
      <x:c r="A14" s="18" t="str">
        <x:v>السؤال</x:v>
      </x:c>
      <x:c r="B14" s="18" t="str">
        <x:v>2 مليون</x:v>
      </x:c>
      <x:c r="C14" s="18" t="str">
        <x:v>4 ملايين</x:v>
      </x:c>
      <x:c r="D14" s="18" t="str">
        <x:v>6 ملايين</x:v>
      </x:c>
      <x:c r="F14" s="18" t="str">
        <x:v>الباقة</x:v>
      </x:c>
      <x:c r="G14" s="18" t="str">
        <x:v>مؤشر القوة</x:v>
      </x:c>
    </x:row>
    <x:row r="15" ht="52" customHeight="1">
      <x:c r="A15" s="94" t="str">
        <x:v>أفضل استخدام</x:v>
      </x:c>
      <x:c r="B15" s="23" t="str">
        <x:v>مساعد مؤسسي يومي عالي التوازي</x:v>
      </x:c>
      <x:c r="C15" s="23" t="str">
        <x:v>منصة عامة بعقد SLA وCowork</x:v>
      </x:c>
      <x:c r="D15" s="23" t="str">
        <x:v>Premium autonomy للمهام الأصعب</x:v>
      </x:c>
      <x:c r="F15" s="67" t="str">
        <x:f>A8/1000000&amp;"M"</x:f>
        <x:v>2M</x:v>
      </x:c>
      <x:c r="G15" s="70" t="n">
        <x:f>H8</x:f>
        <x:v>56.49000000000001</x:v>
      </x:c>
    </x:row>
    <x:row r="16" ht="52" customHeight="1">
      <x:c r="A16" s="94" t="str">
        <x:v>الفرق الملحوظ</x:v>
      </x:c>
      <x:c r="B16" s="23" t="str">
        <x:v>تكلفة أقل وجودة يومية جيدة</x:v>
      </x:c>
      <x:c r="C16" s="23" t="str">
        <x:v>أسرع خدمة + أدوات أكثر ثباتاً</x:v>
      </x:c>
      <x:c r="D16" s="23" t="str">
        <x:v>تخطيط واستدلال وكود أصعب</x:v>
      </x:c>
      <x:c r="F16" s="67" t="str">
        <x:f>A9/1000000&amp;"M"</x:f>
        <x:v>4M</x:v>
      </x:c>
      <x:c r="G16" s="70" t="n">
        <x:f>H9</x:f>
        <x:v>59.065000000000005</x:v>
      </x:c>
    </x:row>
    <x:row r="17" ht="52" customHeight="1">
      <x:c r="A17" s="94" t="str">
        <x:v>المخاطرة</x:v>
      </x:c>
      <x:c r="B17" s="23" t="str">
        <x:v>تحتاج تصعيد المهام الصعبة لمراجع بشري</x:v>
      </x:c>
      <x:c r="C17" s="23" t="str">
        <x:v>تحسن الجودة ليس ضعف 27B رغم ضعف الميزانية</x:v>
      </x:c>
      <x:c r="D17" s="23" t="str">
        <x:v>طاقة وPOC وقطع غيار؛ السرعة قد تقل مع flagship</x:v>
      </x:c>
      <x:c r="F17" s="67" t="str">
        <x:f>A10/1000000&amp;"M"</x:f>
        <x:v>6M</x:v>
      </x:c>
      <x:c r="G17" s="70" t="n">
        <x:f>H10</x:f>
        <x:v>64.04500000000002</x:v>
      </x:c>
    </x:row>
    <x:row r="18" ht="52" customHeight="1">
      <x:c r="A18" s="94" t="str">
        <x:v>هل يستاهل؟</x:v>
      </x:c>
      <x:c r="B18" s="23" t="str">
        <x:v>نعم للحمل الروتيني</x:v>
      </x:c>
      <x:c r="C18" s="95" t="str">
        <x:v>نعم — الخيار الافتراضي</x:v>
      </x:c>
      <x:c r="D18" s="23" t="str">
        <x:v>فقط إذا وفّر عملاً بشرياً عالي القيمة</x:v>
      </x:c>
    </x:row>
    <x:row r="19" ht="52" customHeight="1">
      <x:c r="A19" s="94" t="str">
        <x:v>التقييم</x:v>
      </x:c>
      <x:c r="B19" s="23" t="str">
        <x:v>جيد</x:v>
      </x:c>
      <x:c r="C19" s="95" t="str">
        <x:v>الأفضل تجارياً</x:v>
      </x:c>
      <x:c r="D19" s="23" t="str">
        <x:v>الأقوى نوعياً</x:v>
      </x:c>
    </x:row>
    <x:row r="22">
      <x:c r="A22" s="119" t="str">
        <x:v>الخلاصة التنفيذية
• 2M: أفضل قيمة للكتابة/الترجمة/التلخيص وخدمة عدد كبير بسرعة مقبولة.
• 4M: التوصية الأساسية؛ 32 replica واستجابة أسرع وهوامش HA أفضل.
• 6M: أفضل جودة في التخطيط العميق والمهام الوكيلة، لكن استخدم routing: 397B للمهام المعقدة و122B/27B للروتينية.
• شرط الشراء: POC على نفس الخوادم مع 35 جلسة، 32K context، صور، tool calls، وCowork متعدد الخطوات.</x:v>
      </x:c>
      <x:c r="B22" s="119"/>
      <x:c r="C22" s="119"/>
      <x:c r="D22" s="119"/>
    </x:row>
    <x:row r="23">
      <x:c r="A23" s="119"/>
      <x:c r="B23" s="119"/>
      <x:c r="C23" s="119"/>
      <x:c r="D23" s="119"/>
    </x:row>
    <x:row r="24">
      <x:c r="A24" s="119"/>
      <x:c r="B24" s="119"/>
      <x:c r="C24" s="119"/>
      <x:c r="D24" s="119"/>
    </x:row>
    <x:row r="25">
      <x:c r="A25" s="119"/>
      <x:c r="B25" s="119"/>
      <x:c r="C25" s="119"/>
      <x:c r="D25" s="119"/>
    </x:row>
    <x:row r="26">
      <x:c r="A26" s="119"/>
      <x:c r="B26" s="119"/>
      <x:c r="C26" s="119"/>
      <x:c r="D26" s="119"/>
    </x:row>
    <x:row r="27">
      <x:c r="A27" s="119"/>
      <x:c r="B27" s="119"/>
      <x:c r="C27" s="119"/>
      <x:c r="D27" s="119"/>
    </x:row>
    <x:row r="30">
      <x:c r="A30" s="50" t="str">
        <x:v>حدود الدراسة: تقدير CapEx وليس TCO لخمس سنوات. لا يشمل رواتب التشغيل، الكهرباء السنوية، عقود الترخيص الطرفية، DR مستقل، أو إنشاء مركز بيانات جديد. راجع أوراق التكلفة والافتراضات والمصادر قبل اعتماد ميزانية مناقصة.</x:v>
      </x:c>
      <x:c r="B30" s="50"/>
      <x:c r="C30" s="50"/>
      <x:c r="D30" s="50"/>
    </x:row>
    <x:row r="31">
      <x:c r="A31" s="50"/>
      <x:c r="B31" s="50"/>
      <x:c r="C31" s="50"/>
      <x:c r="D31" s="50"/>
    </x:row>
    <x:row r="32">
      <x:c r="A32" s="50"/>
      <x:c r="B32" s="50"/>
      <x:c r="C32" s="50"/>
      <x:c r="D32" s="50"/>
    </x:row>
  </x:sheetData>
  <x:mergeCells>
    <x:mergeCell ref="A1:J1"/>
    <x:mergeCell ref="A2:J2"/>
    <x:mergeCell ref="A4:J5"/>
    <x:mergeCell ref="A13:D13"/>
    <x:mergeCell ref="A22:D27"/>
    <x:mergeCell ref="A30:D32"/>
  </x:mergeCells>
  <x:pageMargins left="0.7" right="0.7" top="0.75" bottom="0.75" header="0.3" footer="0.3"/>
  <x:drawing xmlns:r="http://schemas.openxmlformats.org/officeDocument/2006/relationships" r:id="Rcd99729549ee473a"/>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48" hidden="0" customWidth="1"/>
    <x:col min="4" max="4" width="48"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23" hidden="0" customWidth="1"/>
  </x:cols>
  <x:sheetData>
    <x:row r="1" ht="38" customHeight="1">
      <x:c r="A1" s="4" t="str">
        <x:v>المقارنة الفنية لعدد 35 مستخدماً متزامناً</x:v>
      </x:c>
      <x:c r="B1" s="4"/>
      <x:c r="C1" s="4"/>
      <x:c r="D1" s="4"/>
      <x:c r="E1" s="4"/>
      <x:c r="F1" s="4"/>
      <x:c r="G1" s="4"/>
      <x:c r="H1" s="4"/>
      <x:c r="I1" s="4"/>
      <x:c r="J1" s="4"/>
      <x:c r="K1" s="4"/>
      <x:c r="L1" s="4"/>
      <x:c r="M1" s="4"/>
      <x:c r="N1" s="4"/>
      <x:c r="O1" s="4"/>
      <x:c r="P1" s="4"/>
      <x:c r="Q1" s="4"/>
      <x:c r="R1" s="4"/>
      <x:c r="S1" s="4"/>
    </x:row>
    <x:row r="2" ht="32" customHeight="1">
      <x:c r="A2" s="9" t="str">
        <x:v>السرعة المحسوبة تخص 35 طلب توليد نشطاً في الوقت نفسه. المسار العميق 128K يعمل بتزامن أقل، وCowork قد ينفذ عدة جولات LLM.</x:v>
      </x:c>
      <x:c r="B2" s="9"/>
      <x:c r="C2" s="9"/>
      <x:c r="D2" s="9"/>
      <x:c r="E2" s="9"/>
      <x:c r="F2" s="9"/>
      <x:c r="G2" s="9"/>
      <x:c r="H2" s="9"/>
      <x:c r="I2" s="9"/>
      <x:c r="J2" s="9"/>
      <x:c r="K2" s="9"/>
      <x:c r="L2" s="9"/>
      <x:c r="M2" s="9"/>
      <x:c r="N2" s="9"/>
      <x:c r="O2" s="9"/>
      <x:c r="P2" s="9"/>
      <x:c r="Q2" s="9"/>
      <x:c r="R2" s="9"/>
      <x:c r="S2" s="9"/>
    </x:row>
    <x:row r="4" ht="34" customHeight="1">
      <x:c r="A4" s="18" t="str">
        <x:v>الميزانية</x:v>
      </x:c>
      <x:c r="B4" s="18" t="str">
        <x:v>الموديل الرئيسي</x:v>
      </x:c>
      <x:c r="C4" s="18" t="str">
        <x:v>المعاملات (إجمالي/نشط)</x:v>
      </x:c>
      <x:c r="D4" s="18" t="str">
        <x:v>nodes</x:v>
      </x:c>
      <x:c r="E4" s="18" t="str">
        <x:v>GPU</x:v>
      </x:c>
      <x:c r="F4" s="18" t="str">
        <x:v>VRAM الكلي GB</x:v>
      </x:c>
      <x:c r="G4" s="18" t="str">
        <x:v>ملف الموديل GB</x:v>
      </x:c>
      <x:c r="H4" s="18" t="str">
        <x:v>GPU/replica</x:v>
      </x:c>
      <x:c r="I4" s="18" t="str">
        <x:v>replicas الرئيسية</x:v>
      </x:c>
      <x:c r="J4" s="18" t="str">
        <x:v>slots/replica</x:v>
      </x:c>
      <x:c r="K4" s="18" t="str">
        <x:v>أقصى slots رئيسية</x:v>
      </x:c>
      <x:c r="L4" s="18" t="str">
        <x:v>users/replica</x:v>
      </x:c>
      <x:c r="M4" s="18" t="str">
        <x:v>tok/s لكل replica</x:v>
      </x:c>
      <x:c r="N4" s="18" t="str">
        <x:v>tok/s للعنقود</x:v>
      </x:c>
      <x:c r="O4" s="18" t="str">
        <x:v>tok/s لكل مستخدم</x:v>
      </x:c>
      <x:c r="P4" s="18" t="str">
        <x:v>ثانية لبث 800 token</x:v>
      </x:c>
      <x:c r="Q4" s="18" t="str">
        <x:v>قدرة المنشأة kW</x:v>
      </x:c>
      <x:c r="R4" s="18" t="str">
        <x:v>مؤشر القوة</x:v>
      </x:c>
      <x:c r="S4" s="18" t="str">
        <x:v>المستوى</x:v>
      </x:c>
    </x:row>
    <x:row r="5">
      <x:c r="A5" s="75" t="n">
        <x:f>'الافتراضات والمصادر'!B29</x:f>
        <x:v>2000000</x:v>
      </x:c>
      <x:c r="B5" s="76" t="str">
        <x:v>Qwen3.5-27B</x:v>
      </x:c>
      <x:c r="C5" s="76" t="str">
        <x:v>27B / 27B</x:v>
      </x:c>
      <x:c r="D5" s="77" t="n">
        <x:f>'الافتراضات والمصادر'!B30</x:f>
        <x:v>2</x:v>
      </x:c>
      <x:c r="E5" s="77" t="n">
        <x:f>'الافتراضات والمصادر'!B40*'الافتراضات والمصادر'!$B$16+'الافتراضات والمصادر'!B41*'الافتراضات والمصادر'!$B$17</x:f>
        <x:v>16</x:v>
      </x:c>
      <x:c r="F5" s="78" t="n">
        <x:f>'الافتراضات والمصادر'!B40*'الافتراضات والمصادر'!$B$16*'الافتراضات والمصادر'!$B$18+'الافتراضات والمصادر'!B41*'الافتراضات والمصادر'!$B$17*'الافتراضات والمصادر'!$B$19</x:f>
        <x:v>1536</x:v>
      </x:c>
      <x:c r="G5" s="78" t="n">
        <x:f>'الافتراضات والمصادر'!B39</x:f>
        <x:v>16.7</x:v>
      </x:c>
      <x:c r="H5" s="77" t="n">
        <x:f>'الافتراضات والمصادر'!B38</x:f>
        <x:v>1</x:v>
      </x:c>
      <x:c r="I5" s="76" t="n">
        <x:f>'الافتراضات والمصادر'!B40*'الافتراضات والمصادر'!$B$16/H5</x:f>
        <x:v>16</x:v>
      </x:c>
      <x:c r="J5" s="77" t="n">
        <x:f>'الافتراضات والمصادر'!B37</x:f>
        <x:v>3</x:v>
      </x:c>
      <x:c r="K5" s="76" t="n">
        <x:f>I5*J5</x:f>
        <x:v>48</x:v>
      </x:c>
      <x:c r="L5" s="79" t="n">
        <x:f>'الافتراضات والمصادر'!$B$6/I5</x:f>
        <x:v>2.1875</x:v>
      </x:c>
      <x:c r="M5" s="80" t="n">
        <x:f>'الافتراضات والمصادر'!$B$22</x:f>
        <x:v>65</x:v>
      </x:c>
      <x:c r="N5" s="79" t="n">
        <x:f>I5*M5</x:f>
        <x:v>1040</x:v>
      </x:c>
      <x:c r="O5" s="79" t="n">
        <x:f>N5/'الافتراضات والمصادر'!$B$6</x:f>
        <x:v>29.714285714285715</x:v>
      </x:c>
      <x:c r="P5" s="79" t="n">
        <x:f>'الافتراضات والمصادر'!$B$8/O5</x:f>
        <x:v>26.923076923076923</x:v>
      </x:c>
      <x:c r="Q5" s="80" t="n">
        <x:f>('الافتراضات والمصادر'!B40*'الافتراضات والمصادر'!$B$20+'الافتراضات والمصادر'!B41*'الافتراضات والمصادر'!$B$21+'الافتراضات والمصادر'!B36)*'الافتراضات والمصادر'!$B$13</x:f>
        <x:v>20.8</x:v>
      </x:c>
      <x:c r="R5" s="80" t="n">
        <x:f>'المعايير'!C16</x:f>
        <x:v>56.49000000000001</x:v>
      </x:c>
      <x:c r="S5" s="76" t="str">
        <x:v>اقتصادي ومتوازي</x:v>
      </x:c>
    </x:row>
    <x:row r="6">
      <x:c r="A6" s="81" t="n">
        <x:f>'الافتراضات والمصادر'!C29</x:f>
        <x:v>4000000</x:v>
      </x:c>
      <x:c r="B6" s="82" t="str">
        <x:v>Qwen3.5-122B-A10B</x:v>
      </x:c>
      <x:c r="C6" s="82" t="str">
        <x:v>122B / 10B</x:v>
      </x:c>
      <x:c r="D6" s="83" t="n">
        <x:f>'الافتراضات والمصادر'!C30</x:f>
        <x:v>4</x:v>
      </x:c>
      <x:c r="E6" s="83" t="n">
        <x:f>'الافتراضات والمصادر'!C40*'الافتراضات والمصادر'!$B$16+'الافتراضات والمصادر'!C41*'الافتراضات والمصادر'!$B$17</x:f>
        <x:v>32</x:v>
      </x:c>
      <x:c r="F6" s="84" t="n">
        <x:f>'الافتراضات والمصادر'!C40*'الافتراضات والمصادر'!$B$16*'الافتراضات والمصادر'!$B$18+'الافتراضات والمصادر'!C41*'الافتراضات والمصادر'!$B$17*'الافتراضات والمصادر'!$B$19</x:f>
        <x:v>3072</x:v>
      </x:c>
      <x:c r="G6" s="84" t="n">
        <x:f>'الافتراضات والمصادر'!C39</x:f>
        <x:v>76.5</x:v>
      </x:c>
      <x:c r="H6" s="83" t="n">
        <x:f>'الافتراضات والمصادر'!C38</x:f>
        <x:v>1</x:v>
      </x:c>
      <x:c r="I6" s="82" t="n">
        <x:f>'الافتراضات والمصادر'!C40*'الافتراضات والمصادر'!$B$16/H6</x:f>
        <x:v>32</x:v>
      </x:c>
      <x:c r="J6" s="83" t="n">
        <x:f>'الافتراضات والمصادر'!C37</x:f>
        <x:v>2</x:v>
      </x:c>
      <x:c r="K6" s="82" t="n">
        <x:f>I6*J6</x:f>
        <x:v>64</x:v>
      </x:c>
      <x:c r="L6" s="85" t="n">
        <x:f>'الافتراضات والمصادر'!$B$6/I6</x:f>
        <x:v>1.09375</x:v>
      </x:c>
      <x:c r="M6" s="86" t="n">
        <x:f>'الافتراضات والمصادر'!$B$23</x:f>
        <x:v>50</x:v>
      </x:c>
      <x:c r="N6" s="85" t="n">
        <x:f>I6*M6</x:f>
        <x:v>1600</x:v>
      </x:c>
      <x:c r="O6" s="85" t="n">
        <x:f>N6/'الافتراضات والمصادر'!$B$6</x:f>
        <x:v>45.714285714285715</x:v>
      </x:c>
      <x:c r="P6" s="85" t="n">
        <x:f>'الافتراضات والمصادر'!$B$8/O6</x:f>
        <x:v>17.5</x:v>
      </x:c>
      <x:c r="Q6" s="86" t="n">
        <x:f>('الافتراضات والمصادر'!C40*'الافتراضات والمصادر'!$B$20+'الافتراضات والمصادر'!C41*'الافتراضات والمصادر'!$B$21+'الافتراضات والمصادر'!C36)*'الافتراضات والمصادر'!$B$13</x:f>
        <x:v>40.300000000000004</x:v>
      </x:c>
      <x:c r="R6" s="86" t="n">
        <x:f>'المعايير'!D16</x:f>
        <x:v>59.065000000000005</x:v>
      </x:c>
      <x:c r="S6" s="82" t="str">
        <x:v>Enterprise sweet spot</x:v>
      </x:c>
    </x:row>
    <x:row r="7">
      <x:c r="A7" s="87" t="n">
        <x:f>'الافتراضات والمصادر'!D29</x:f>
        <x:v>6000000</x:v>
      </x:c>
      <x:c r="B7" s="88" t="str">
        <x:v>Qwen3.5-397B-A17B</x:v>
      </x:c>
      <x:c r="C7" s="88" t="str">
        <x:v>397B / 17B</x:v>
      </x:c>
      <x:c r="D7" s="89" t="n">
        <x:f>'الافتراضات والمصادر'!D30</x:f>
        <x:v>3</x:v>
      </x:c>
      <x:c r="E7" s="89" t="n">
        <x:f>'الافتراضات والمصادر'!D40*'الافتراضات والمصادر'!$B$16+'الافتراضات والمصادر'!D41*'الافتراضات والمصادر'!$B$17</x:f>
        <x:v>24</x:v>
      </x:c>
      <x:c r="F7" s="90" t="n">
        <x:f>'الافتراضات والمصادر'!D40*'الافتراضات والمصادر'!$B$16*'الافتراضات والمصادر'!$B$18+'الافتراضات والمصادر'!D41*'الافتراضات والمصادر'!$B$17*'الافتراضات والمصادر'!$B$19</x:f>
        <x:v>3648</x:v>
      </x:c>
      <x:c r="G7" s="90" t="n">
        <x:f>'الافتراضات والمصادر'!D39</x:f>
        <x:v>244</x:v>
      </x:c>
      <x:c r="H7" s="89" t="n">
        <x:f>'الافتراضات والمصادر'!D38</x:f>
        <x:v>2</x:v>
      </x:c>
      <x:c r="I7" s="88" t="n">
        <x:f>'الافتراضات والمصادر'!D41*'الافتراضات والمصادر'!$B$17/H7</x:f>
        <x:v>8</x:v>
      </x:c>
      <x:c r="J7" s="89" t="n">
        <x:f>'الافتراضات والمصادر'!D37</x:f>
        <x:v>5</x:v>
      </x:c>
      <x:c r="K7" s="88" t="n">
        <x:f>I7*J7</x:f>
        <x:v>40</x:v>
      </x:c>
      <x:c r="L7" s="91" t="n">
        <x:f>'الافتراضات والمصادر'!$B$6/I7</x:f>
        <x:v>4.375</x:v>
      </x:c>
      <x:c r="M7" s="92" t="n">
        <x:f>'الافتراضات والمصادر'!$B$24</x:f>
        <x:v>80</x:v>
      </x:c>
      <x:c r="N7" s="91" t="n">
        <x:f>I7*M7</x:f>
        <x:v>640</x:v>
      </x:c>
      <x:c r="O7" s="91" t="n">
        <x:f>N7/'الافتراضات والمصادر'!$B$6</x:f>
        <x:v>18.285714285714285</x:v>
      </x:c>
      <x:c r="P7" s="91" t="n">
        <x:f>'الافتراضات والمصادر'!$B$8/O7</x:f>
        <x:v>43.75</x:v>
      </x:c>
      <x:c r="Q7" s="92" t="n">
        <x:f>('الافتراضات والمصادر'!D40*'الافتراضات والمصادر'!$B$20+'الافتراضات والمصادر'!D41*'الافتراضات والمصادر'!$B$21+'الافتراضات والمصادر'!D36)*'الافتراضات والمصادر'!$B$13</x:f>
        <x:v>50.18000000000001</x:v>
      </x:c>
      <x:c r="R7" s="92" t="n">
        <x:f>'المعايير'!E16</x:f>
        <x:v>64.04500000000002</x:v>
      </x:c>
      <x:c r="S7" s="88" t="str">
        <x:v>397B flagship + 8×122B routine</x:v>
      </x:c>
    </x:row>
    <x:row r="10" ht="28" customHeight="1">
      <x:c r="A10" s="13" t="str">
        <x:v>الفرق العملي بين الباقات</x:v>
      </x:c>
      <x:c r="B10" s="13"/>
      <x:c r="C10" s="13"/>
      <x:c r="D10" s="13"/>
    </x:row>
    <x:row r="11" ht="34" customHeight="1">
      <x:c r="A11" s="18" t="str">
        <x:v>المعيار</x:v>
      </x:c>
      <x:c r="B11" s="18" t="str">
        <x:v>2 مليون</x:v>
      </x:c>
      <x:c r="C11" s="18" t="str">
        <x:v>4 ملايين</x:v>
      </x:c>
      <x:c r="D11" s="18" t="str">
        <x:v>6 ملايين</x:v>
      </x:c>
    </x:row>
    <x:row r="12" ht="72" customHeight="1">
      <x:c r="A12" s="94" t="str">
        <x:v>المهام الأنسب</x:v>
      </x:c>
      <x:c r="B12" s="23" t="str">
        <x:v>تسويق وصياغة، ترجمة عربي/إنجليزي، تلخيص، استخراج بيانات، تقارير مالية أولية، إصلاحات كود محدودة، أسئلة صور اعتيادية.</x:v>
      </x:c>
      <x:c r="C12" s="23" t="str">
        <x:v>Cowork أكثر ثباتاً، مستندات طويلة، تصحيح أخطاء معقد، أدوات متعددة، تحليل مالي/تقني أعمق، أحمال SLA أعلى.</x:v>
      </x:c>
      <x:c r="D12" s="23" t="str">
        <x:v>أصعب الاستدلالات، تغييرات مستودع واسعة، تخطيط طويل، هجرات برمجية، تحليل تقني/مالي عالي المخاطر مع إشراف بشري.</x:v>
      </x:c>
    </x:row>
    <x:row r="13" ht="72" customHeight="1">
      <x:c r="A13" s="94" t="str">
        <x:v>ما الذي يتحسن؟</x:v>
      </x:c>
      <x:c r="B13" s="23" t="str">
        <x:v>أعلى توازٍ بتكلفة منخفضة؛ جودة قوية للمهام اليومية.</x:v>
      </x:c>
      <x:c r="C13" s="23" t="str">
        <x:v>سرعة أعلى عند 35 مستخدماً، ضعف عدد الـreplicas، وثبات أفضل للأدوات والطرفية من 27B.</x:v>
      </x:c>
      <x:c r="D13" s="23" t="str">
        <x:v>قفزة أوضح في التخطيط العميق وTAU2 والبحث الواسع وجودة أصعب مهام الكود؛ ليست قفزة سرعة.</x:v>
      </x:c>
    </x:row>
    <x:row r="14" ht="72" customHeight="1">
      <x:c r="A14" s="94" t="str">
        <x:v>الزمن التقريبي</x:v>
      </x:c>
      <x:c r="B14" s="23" t="str">
        <x:v>نحو 27 ثانية لبث 800 token عند امتلاء الحمل.</x:v>
      </x:c>
      <x:c r="C14" s="23" t="str">
        <x:v>نحو 18 ثانية؛ الأسرع بين السيناريوهات المقترحة.</x:v>
      </x:c>
      <x:c r="D14" s="23" t="str">
        <x:v>نحو 44 ثانية إذا استخدم الـ35 جميعاً 397B؛ المسار 122B الإضافي يجعل routing الهجين أسرع عملياً.</x:v>
      </x:c>
    </x:row>
    <x:row r="15" ht="72" customHeight="1">
      <x:c r="A15" s="94" t="str">
        <x:v>الاعتمادية</x:v>
      </x:c>
      <x:c r="B15" s="23" t="str">
        <x:v>2 nodes؛ فقد node يبقي الخدمة لكن يخفض السعة تقريباً للنصف.</x:v>
      </x:c>
      <x:c r="C15" s="23" t="str">
        <x:v>4 nodes؛ أفضل مساحة للصيانة وفشل node مع بقاء سعة عملية.</x:v>
      </x:c>
      <x:c r="D15" s="23" t="str">
        <x:v>2×B200 + 1×RTX؛ فقد B200 يخفض flagship للنصف، ويبقى مسار 122B الروتيني متاحاً.</x:v>
      </x:c>
    </x:row>
    <x:row r="16" ht="72" customHeight="1">
      <x:c r="A16" s="94" t="str">
        <x:v>القيود</x:v>
      </x:c>
      <x:c r="B16" s="23" t="str">
        <x:v>أضعف في السلاسل الطويلة والحكم الدقيق وإصلاحات المستودع الواسعة.</x:v>
      </x:c>
      <x:c r="C16" s="23" t="str">
        <x:v>التحسن النوعي عن 27B متوسط في بعض المعايير؛ القيمة الأكبر في السعة والاعتمادية.</x:v>
      </x:c>
      <x:c r="D16" s="23" t="str">
        <x:v>تكلفة/طاقة عالية؛ llama.cpp مع هذا الحجم يحتاج POC صارماً، وقد لا تكون الزيادة مبررة للمهام الروتينية.</x:v>
      </x:c>
    </x:row>
    <x:row r="17" ht="72" customHeight="1">
      <x:c r="A17" s="94" t="str">
        <x:v>هل يستاهل؟</x:v>
      </x:c>
      <x:c r="B17" s="23" t="str">
        <x:v>نعم إذا كان 80% من الحمل كتابة/ترجمة/تلخيص وخدمة داخلية.</x:v>
      </x:c>
      <x:c r="C17" s="23" t="str">
        <x:v>نعم غالباً؛ أفضل نقطة توازن لشركة تبيع المنصة بعقد on-prem وSLA.</x:v>
      </x:c>
      <x:c r="D17" s="23" t="str">
        <x:v>فقط إذا كانت المهام الصعبة تقلل عملاً بشرياً ذا قيمة، أو الدقة/الاستقلالية شرط تجاري.</x:v>
      </x:c>
    </x:row>
    <x:row r="18" ht="72" customHeight="1">
      <x:c r="A18" s="94" t="str">
        <x:v>قرارنا</x:v>
      </x:c>
      <x:c r="B18" s="23" t="str">
        <x:v>Minimum viable enterprise</x:v>
      </x:c>
      <x:c r="C18" s="95" t="str">
        <x:v>موصى به — Sweet spot</x:v>
      </x:c>
      <x:c r="D18" s="23" t="str">
        <x:v>Premium intelligence؛ يفضل routing هجين 397B + مسار أصغر</x:v>
      </x:c>
    </x:row>
    <x:row r="21">
      <x:c r="A21" s="50" t="str">
        <x:v>ملاحظة latency: الأرقام أعلاه تقيس زمن بث 800 token بعد بدء التوليد ولا تشمل TTFT ولا زمن الأدوات. تنفيذ Cowork في المنصة قد يصل إلى 8 جولات LLM؛ المهمة الكاملة قد تستغرق عدة أضعاف زمن الاستجابة الواحدة. لكل عرض شراء يجب اختبار prompts الفعلية، الصور، tool calls، والسياق الطويل على build llama.cpp المحدد.</x:v>
      </x:c>
      <x:c r="B21" s="50"/>
      <x:c r="C21" s="50"/>
      <x:c r="D21" s="50"/>
      <x:c r="E21" s="50"/>
      <x:c r="F21" s="50"/>
      <x:c r="G21" s="50"/>
      <x:c r="H21" s="50"/>
      <x:c r="I21" s="50"/>
      <x:c r="J21" s="50"/>
      <x:c r="K21" s="50"/>
      <x:c r="L21" s="50"/>
      <x:c r="M21" s="50"/>
      <x:c r="N21" s="50"/>
      <x:c r="O21" s="50"/>
      <x:c r="P21" s="50"/>
      <x:c r="Q21" s="50"/>
      <x:c r="R21" s="50"/>
      <x:c r="S21" s="50"/>
    </x:row>
    <x:row r="22">
      <x:c r="A22" s="50"/>
      <x:c r="B22" s="50"/>
      <x:c r="C22" s="50"/>
      <x:c r="D22" s="50"/>
      <x:c r="E22" s="50"/>
      <x:c r="F22" s="50"/>
      <x:c r="G22" s="50"/>
      <x:c r="H22" s="50"/>
      <x:c r="I22" s="50"/>
      <x:c r="J22" s="50"/>
      <x:c r="K22" s="50"/>
      <x:c r="L22" s="50"/>
      <x:c r="M22" s="50"/>
      <x:c r="N22" s="50"/>
      <x:c r="O22" s="50"/>
      <x:c r="P22" s="50"/>
      <x:c r="Q22" s="50"/>
      <x:c r="R22" s="50"/>
      <x:c r="S22" s="50"/>
    </x:row>
    <x:row r="23">
      <x:c r="A23" s="50"/>
      <x:c r="B23" s="50"/>
      <x:c r="C23" s="50"/>
      <x:c r="D23" s="50"/>
      <x:c r="E23" s="50"/>
      <x:c r="F23" s="50"/>
      <x:c r="G23" s="50"/>
      <x:c r="H23" s="50"/>
      <x:c r="I23" s="50"/>
      <x:c r="J23" s="50"/>
      <x:c r="K23" s="50"/>
      <x:c r="L23" s="50"/>
      <x:c r="M23" s="50"/>
      <x:c r="N23" s="50"/>
      <x:c r="O23" s="50"/>
      <x:c r="P23" s="50"/>
      <x:c r="Q23" s="50"/>
      <x:c r="R23" s="50"/>
      <x:c r="S23" s="50"/>
    </x:row>
  </x:sheetData>
  <x:mergeCells>
    <x:mergeCell ref="A1:S1"/>
    <x:mergeCell ref="A2:S2"/>
    <x:mergeCell ref="A10:D10"/>
    <x:mergeCell ref="A21:S2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 min="5" max="5" width="44" hidden="0" customWidth="1"/>
  </x:cols>
  <x:sheetData>
    <x:row r="1" ht="38" customHeight="1">
      <x:c r="A1" s="4" t="str">
        <x:v>تفصيل التكلفة الرأسمالية</x:v>
      </x:c>
      <x:c r="B1" s="4"/>
      <x:c r="C1" s="4"/>
      <x:c r="D1" s="4"/>
      <x:c r="E1" s="4"/>
    </x:row>
    <x:row r="2" ht="32" customHeight="1">
      <x:c r="A2" s="9" t="str">
        <x:v>الميزانيات شاملة VAT 15%. يفترض وجود مركز بيانات؛ مبالغ الطاقة هنا لرفع التجهيزات لا لإنشاء منشأة جديدة.</x:v>
      </x:c>
      <x:c r="B2" s="9"/>
      <x:c r="C2" s="9"/>
      <x:c r="D2" s="9"/>
      <x:c r="E2" s="9"/>
    </x:row>
    <x:row r="4" ht="34" customHeight="1">
      <x:c r="A4" s="18" t="str">
        <x:v>البند — قبل VAT</x:v>
      </x:c>
      <x:c r="B4" s="18" t="str">
        <x:v>2 مليون</x:v>
      </x:c>
      <x:c r="C4" s="18" t="str">
        <x:v>4 ملايين</x:v>
      </x:c>
      <x:c r="D4" s="18" t="str">
        <x:v>6 ملايين</x:v>
      </x:c>
      <x:c r="E4" s="18" t="str">
        <x:v>منهج الحساب</x:v>
      </x:c>
    </x:row>
    <x:row r="5" ht="35" customHeight="1">
      <x:c r="A5" s="23" t="str">
        <x:v>خوادم inference</x:v>
      </x:c>
      <x:c r="B5" s="99" t="n">
        <x:f>('الافتراضات والمصادر'!B40*'الافتراضات والمصادر'!$B$14+'الافتراضات والمصادر'!B41*'الافتراضات والمصادر'!$B$15)*'الافتراضات والمصادر'!$B$12</x:f>
        <x:v>1125000</x:v>
      </x:c>
      <x:c r="C5" s="99" t="n">
        <x:f>('الافتراضات والمصادر'!C40*'الافتراضات والمصادر'!$B$14+'الافتراضات والمصادر'!C41*'الافتراضات والمصادر'!$B$15)*'الافتراضات والمصادر'!$B$12</x:f>
        <x:v>2250000</x:v>
      </x:c>
      <x:c r="D5" s="99" t="n">
        <x:f>('الافتراضات والمصادر'!D40*'الافتراضات والمصادر'!$B$14+'الافتراضات والمصادر'!D41*'الافتراضات والمصادر'!$B$15)*'الافتراضات والمصادر'!$B$12</x:f>
        <x:v>3421884.375</x:v>
      </x:c>
      <x:c r="E5" s="23" t="str">
        <x:v>عدد nodes × سعر USD × 3.75</x:v>
      </x:c>
    </x:row>
    <x:row r="6" ht="35" customHeight="1">
      <x:c r="A6" s="30" t="str">
        <x:v>عنقود التطبيق/قاعدة البيانات</x:v>
      </x:c>
      <x:c r="B6" s="100" t="n">
        <x:f>'الافتراضات والمصادر'!B31</x:f>
        <x:v>135000</x:v>
      </x:c>
      <x:c r="C6" s="100" t="n">
        <x:f>'الافتراضات والمصادر'!C31</x:f>
        <x:v>180000</x:v>
      </x:c>
      <x:c r="D6" s="100" t="n">
        <x:f>'الافتراضات والمصادر'!D31</x:f>
        <x:v>220000</x:v>
      </x:c>
      <x:c r="E6" s="30" t="str">
        <x:v>3 عقد HA للتطبيق/PostgreSQL/Redis حسب التصميم النهائي</x:v>
      </x:c>
    </x:row>
    <x:row r="7" ht="35" customHeight="1">
      <x:c r="A7" s="23" t="str">
        <x:v>التخزين والنسخ الاحتياطي</x:v>
      </x:c>
      <x:c r="B7" s="99" t="n">
        <x:f>'الافتراضات والمصادر'!B32</x:f>
        <x:v>80000</x:v>
      </x:c>
      <x:c r="C7" s="99" t="n">
        <x:f>'الافتراضات والمصادر'!C32</x:f>
        <x:v>150000</x:v>
      </x:c>
      <x:c r="D7" s="99" t="n">
        <x:f>'الافتراضات والمصادر'!D32</x:f>
        <x:v>180000</x:v>
      </x:c>
      <x:c r="E7" s="23" t="str">
        <x:v>NVMe/shared storage + نسخ احتياطي</x:v>
      </x:c>
    </x:row>
    <x:row r="8" ht="35" customHeight="1">
      <x:c r="A8" s="30" t="str">
        <x:v>الشبكة وموازنة الحمل</x:v>
      </x:c>
      <x:c r="B8" s="100" t="n">
        <x:f>'الافتراضات والمصادر'!B33</x:f>
        <x:v>90000</x:v>
      </x:c>
      <x:c r="C8" s="100" t="n">
        <x:f>'الافتراضات والمصادر'!C33</x:f>
        <x:v>200000</x:v>
      </x:c>
      <x:c r="D8" s="100" t="n">
        <x:f>'الافتراضات والمصادر'!D33</x:f>
        <x:v>250000</x:v>
      </x:c>
      <x:c r="E8" s="30" t="str">
        <x:v>25/100GbE، load balancer، optics وكابلات</x:v>
      </x:c>
    </x:row>
    <x:row r="9" ht="35" customHeight="1">
      <x:c r="A9" s="23" t="str">
        <x:v>rack/UPS/PDU ورفع التبريد</x:v>
      </x:c>
      <x:c r="B9" s="99" t="n">
        <x:f>'الافتراضات والمصادر'!B34</x:f>
        <x:v>150000</x:v>
      </x:c>
      <x:c r="C9" s="99" t="n">
        <x:f>'الافتراضات والمصادر'!C34</x:f>
        <x:v>350000</x:v>
      </x:c>
      <x:c r="D9" s="99" t="n">
        <x:f>'الافتراضات والمصادر'!D34</x:f>
        <x:v>450000</x:v>
      </x:c>
      <x:c r="E9" s="23" t="str">
        <x:v>PDU/UPS وتعديلات قدرة/تبريد ضمن موقع قائم</x:v>
      </x:c>
    </x:row>
    <x:row r="10" ht="35" customHeight="1">
      <x:c r="A10" s="30" t="str">
        <x:v>التكامل/الاحتياطي/الدعم الإضافي</x:v>
      </x:c>
      <x:c r="B10" s="100" t="n">
        <x:f>'الافتراضات والمصادر'!B35</x:f>
        <x:v>100000</x:v>
      </x:c>
      <x:c r="C10" s="100" t="n">
        <x:f>'الافتراضات والمصادر'!C35</x:f>
        <x:v>250000</x:v>
      </x:c>
      <x:c r="D10" s="100" t="n">
        <x:f>'الافتراضات والمصادر'!D35</x:f>
        <x:v>400000</x:v>
      </x:c>
      <x:c r="E10" s="30" t="str">
        <x:v>تكامل، spares، تدريب ودعم خارج الضمان المرفق</x:v>
      </x:c>
    </x:row>
    <x:row r="11" ht="35" customHeight="1">
      <x:c r="A11" s="23" t="str">
        <x:v>احتياطي المناقصة/التغير السعري</x:v>
      </x:c>
      <x:c r="B11" s="101" t="n">
        <x:f>B15/(1+'الافتراضات والمصادر'!$B$11)-SUM(B5:B10)</x:f>
        <x:v>59130.43478260888</x:v>
      </x:c>
      <x:c r="C11" s="101" t="n">
        <x:f>C15/(1+'الافتراضات والمصادر'!$B$11)-SUM(C5:C10)</x:f>
        <x:v>98260.86956521776</x:v>
      </x:c>
      <x:c r="D11" s="101" t="n">
        <x:f>D15/(1+'الافتراضات والمصادر'!$B$11)-SUM(D5:D10)</x:f>
        <x:v>295506.92934782617</x:v>
      </x:c>
      <x:c r="E11" s="23" t="str">
        <x:v>صيغة تلقائية لإغلاق الميزانية قبل الضريبة</x:v>
      </x:c>
    </x:row>
    <x:row r="12" ht="35" customHeight="1">
      <x:c r="A12" s="94" t="str">
        <x:v>الإجمالي قبل VAT</x:v>
      </x:c>
      <x:c r="B12" s="104" t="n">
        <x:f>SUM(B5:B11)</x:f>
        <x:v>1739130.4347826089</x:v>
      </x:c>
      <x:c r="C12" s="104" t="n">
        <x:f>SUM(C5:C11)</x:f>
        <x:v>3478260.8695652178</x:v>
      </x:c>
      <x:c r="D12" s="104" t="n">
        <x:f>SUM(D5:D11)</x:f>
        <x:v>5217391.304347826</x:v>
      </x:c>
      <x:c r="E12" s="94" t="str">
        <x:v>مجموع البنود</x:v>
      </x:c>
    </x:row>
    <x:row r="13" ht="35" customHeight="1">
      <x:c r="A13" s="23" t="str">
        <x:v>VAT 15%</x:v>
      </x:c>
      <x:c r="B13" s="101" t="n">
        <x:f>B12*'الافتراضات والمصادر'!$B$11</x:f>
        <x:v>260869.56521739133</x:v>
      </x:c>
      <x:c r="C13" s="101" t="n">
        <x:f>C12*'الافتراضات والمصادر'!$B$11</x:f>
        <x:v>521739.13043478265</x:v>
      </x:c>
      <x:c r="D13" s="101" t="n">
        <x:f>D12*'الافتراضات والمصادر'!$B$11</x:f>
        <x:v>782608.695652174</x:v>
      </x:c>
      <x:c r="E13" s="23" t="str">
        <x:v>الإجمالي قبل VAT × 15%</x:v>
      </x:c>
    </x:row>
    <x:row r="14" ht="35" customHeight="1">
      <x:c r="A14" s="95" t="str">
        <x:v>الإجمالي شامل VAT</x:v>
      </x:c>
      <x:c r="B14" s="106" t="n">
        <x:f>B12+B13</x:f>
        <x:v>2000000.0000000002</x:v>
      </x:c>
      <x:c r="C14" s="106" t="n">
        <x:f>C12+C13</x:f>
        <x:v>4000000.0000000005</x:v>
      </x:c>
      <x:c r="D14" s="106" t="n">
        <x:f>D12+D13</x:f>
        <x:v>6000000</x:v>
      </x:c>
      <x:c r="E14" s="95" t="str">
        <x:v>قبل VAT + VAT</x:v>
      </x:c>
    </x:row>
    <x:row r="15" ht="35" customHeight="1">
      <x:c r="A15" s="95" t="str">
        <x:v>الميزانية المستهدفة</x:v>
      </x:c>
      <x:c r="B15" s="106" t="n">
        <x:f>'الافتراضات والمصادر'!B29</x:f>
        <x:v>2000000</x:v>
      </x:c>
      <x:c r="C15" s="106" t="n">
        <x:f>'الافتراضات والمصادر'!C29</x:f>
        <x:v>4000000</x:v>
      </x:c>
      <x:c r="D15" s="106" t="n">
        <x:f>'الافتراضات والمصادر'!D29</x:f>
        <x:v>6000000</x:v>
      </x:c>
      <x:c r="E15" s="95" t="str">
        <x:v>مدخل من ورقة الافتراضات</x:v>
      </x:c>
    </x:row>
    <x:row r="16" ht="35" customHeight="1">
      <x:c r="A16" s="108" t="str">
        <x:v>فرق المطابقة</x:v>
      </x:c>
      <x:c r="B16" s="109" t="n">
        <x:f>B14-B15</x:f>
        <x:v>2.3283064365386963e-10</x:v>
      </x:c>
      <x:c r="C16" s="109" t="n">
        <x:f>C14-C15</x:f>
        <x:v>4.656612873077393e-10</x:v>
      </x:c>
      <x:c r="D16" s="109" t="n">
        <x:f>D14-D15</x:f>
        <x:v>0</x:v>
      </x:c>
      <x:c r="E16" s="108" t="str">
        <x:v>يجب أن يساوي صفراً</x:v>
      </x:c>
    </x:row>
    <x:row r="19" ht="28" customHeight="1">
      <x:c r="A19" s="13" t="str">
        <x:v>قطع السيرفر المقترحة</x:v>
      </x:c>
      <x:c r="B19" s="13"/>
      <x:c r="C19" s="13"/>
      <x:c r="D19" s="13"/>
      <x:c r="E19" s="13"/>
    </x:row>
    <x:row r="20" ht="34" customHeight="1">
      <x:c r="A20" s="18" t="str">
        <x:v>الفئة</x:v>
      </x:c>
      <x:c r="B20" s="18" t="str">
        <x:v>2 مليون</x:v>
      </x:c>
      <x:c r="C20" s="18" t="str">
        <x:v>4 ملايين</x:v>
      </x:c>
      <x:c r="D20" s="18" t="str">
        <x:v>6 ملايين</x:v>
      </x:c>
      <x:c r="E20" s="18" t="str">
        <x:v>ملاحظات شراء</x:v>
      </x:c>
    </x:row>
    <x:row r="21" ht="58" customHeight="1">
      <x:c r="A21" s="94" t="str">
        <x:v>Inference servers</x:v>
      </x:c>
      <x:c r="B21" s="23" t="str">
        <x:v>2× خادم 4U، كل خادم 8× RTX PRO 6000 96GB</x:v>
      </x:c>
      <x:c r="C21" s="23" t="str">
        <x:v>4× خادم 4U، كل خادم 8× RTX PRO 6000 96GB</x:v>
      </x:c>
      <x:c r="D21" s="23" t="str">
        <x:v>2× نظام 8×B200 180GB + 1× خادم 8×RTX PRO 6000 96GB</x:v>
      </x:c>
      <x:c r="E21" s="23" t="str">
        <x:v>اطلب ضمان 3 سنوات وNBD spares</x:v>
      </x:c>
    </x:row>
    <x:row r="22" ht="58" customHeight="1">
      <x:c r="A22" s="94" t="str">
        <x:v>CPU/RAM لكل inference node</x:v>
      </x:c>
      <x:c r="B22" s="30" t="str">
        <x:v>2× EPYC/Xeon، RAM 1TB</x:v>
      </x:c>
      <x:c r="C22" s="30" t="str">
        <x:v>2× EPYC/Xeon، RAM 1–2TB</x:v>
      </x:c>
      <x:c r="D22" s="30" t="str">
        <x:v>B200: RAM 2–3TB؛ RTX: RAM 1–2TB</x:v>
      </x:c>
      <x:c r="E22" s="30" t="str">
        <x:v>llama.cpp يستفيد من RAM وPCIe/NUMA مضبوط</x:v>
      </x:c>
    </x:row>
    <x:row r="23" ht="58" customHeight="1">
      <x:c r="A23" s="94" t="str">
        <x:v>Local storage</x:v>
      </x:c>
      <x:c r="B23" s="23" t="str">
        <x:v>2× OS SSD + 4× 7.68TB NVMe</x:v>
      </x:c>
      <x:c r="C23" s="23" t="str">
        <x:v>2× OS SSD + 4–8× 7.68TB NVMe</x:v>
      </x:c>
      <x:c r="D23" s="23" t="str">
        <x:v>NVMe داخلي 30TB+</x:v>
      </x:c>
      <x:c r="E23" s="23" t="str">
        <x:v>نسخ GGUF، cache، logs، staging</x:v>
      </x:c>
    </x:row>
    <x:row r="24" ht="58" customHeight="1">
      <x:c r="A24" s="94" t="str">
        <x:v>Network</x:v>
      </x:c>
      <x:c r="B24" s="30" t="str">
        <x:v>Dual 25/100GbE + management</x:v>
      </x:c>
      <x:c r="C24" s="30" t="str">
        <x:v>Dual 100GbE + management</x:v>
      </x:c>
      <x:c r="D24" s="30" t="str">
        <x:v>Dual 100/200GbE + management</x:v>
      </x:c>
      <x:c r="E24" s="30" t="str">
        <x:v>مفاتيح مزدوجة وVLAN للإدارة/البيانات</x:v>
      </x:c>
    </x:row>
    <x:row r="25" ht="58" customHeight="1">
      <x:c r="A25" s="94" t="str">
        <x:v>App/DB HA</x:v>
      </x:c>
      <x:c r="B25" s="23" t="str">
        <x:v>3× خادم 32–48 cores، RAM 256GB، NVMe mirror</x:v>
      </x:c>
      <x:c r="C25" s="23" t="str">
        <x:v>3× خادم 48–64 cores، RAM 384–512GB</x:v>
      </x:c>
      <x:c r="D25" s="23" t="str">
        <x:v>3× خادم 48–64 cores، RAM 512GB</x:v>
      </x:c>
      <x:c r="E25" s="23" t="str">
        <x:v>FastAPI، PostgreSQL HA، Redis، Celery، observability</x:v>
      </x:c>
    </x:row>
    <x:row r="26" ht="58" customHeight="1">
      <x:c r="A26" s="94" t="str">
        <x:v>Shared backup</x:v>
      </x:c>
      <x:c r="B26" s="30" t="str">
        <x:v>NAS/Object 50TB usable</x:v>
      </x:c>
      <x:c r="C26" s="30" t="str">
        <x:v>100TB usable</x:v>
      </x:c>
      <x:c r="D26" s="30" t="str">
        <x:v>100TB usable</x:v>
      </x:c>
      <x:c r="E26" s="30" t="str">
        <x:v>Snapshots + offline/immutable copy</x:v>
      </x:c>
    </x:row>
    <x:row r="27" ht="58" customHeight="1">
      <x:c r="A27" s="94" t="str">
        <x:v>قدرة منشأة موصى بها</x:v>
      </x:c>
      <x:c r="B27" s="23" t="str">
        <x:v>حوالي 21kW</x:v>
      </x:c>
      <x:c r="C27" s="23" t="str">
        <x:v>حوالي 40kW</x:v>
      </x:c>
      <x:c r="D27" s="23" t="str">
        <x:v>حوالي 50kW</x:v>
      </x:c>
      <x:c r="E27" s="23" t="str">
        <x:v>ناتج IT load × PUE 1.3؛ تحقق من ثلاثي الطور والتبريد</x:v>
      </x:c>
    </x:row>
    <x:row r="28" ht="58" customHeight="1">
      <x:c r="A28" s="94" t="str">
        <x:v>Runtime</x:v>
      </x:c>
      <x:c r="B28" s="30" t="str">
        <x:v>llama.cpp llama-server؛ 16 replicas</x:v>
      </x:c>
      <x:c r="C28" s="30" t="str">
        <x:v>llama.cpp llama-server؛ 32 replicas</x:v>
      </x:c>
      <x:c r="D28" s="30" t="str">
        <x:v>8×397B على 2 GPU + 8×122B على RTX؛ routing هجين</x:v>
      </x:c>
      <x:c r="E28" s="30" t="str">
        <x:v>موازن حمل + health checks + queue/backpressure</x:v>
      </x:c>
    </x:row>
    <x:row r="31">
      <x:c r="A31" s="114" t="str">
        <x:v>غير داخل الميزانية: إنشاء غرفة بيانات جديدة، مولد/UPS مركزي كبير، chiller جديد، أعمال مدنية، الجمارك والشحن غير المؤكد، عقود دعم محلية موسعة، أو موقع DR كامل. إن كانت البيئة Greenfield أضف 20–35% تقريباً أو خفّض عدد GPU nodes.</x:v>
      </x:c>
      <x:c r="B31" s="114"/>
      <x:c r="C31" s="114"/>
      <x:c r="D31" s="114"/>
      <x:c r="E31" s="114"/>
    </x:row>
    <x:row r="32">
      <x:c r="A32" s="114"/>
      <x:c r="B32" s="114"/>
      <x:c r="C32" s="114"/>
      <x:c r="D32" s="114"/>
      <x:c r="E32" s="114"/>
    </x:row>
    <x:row r="33">
      <x:c r="A33" s="114"/>
      <x:c r="B33" s="114"/>
      <x:c r="C33" s="114"/>
      <x:c r="D33" s="114"/>
      <x:c r="E33" s="114"/>
    </x:row>
  </x:sheetData>
  <x:mergeCells>
    <x:mergeCell ref="A1:E1"/>
    <x:mergeCell ref="A2:E2"/>
    <x:mergeCell ref="A19:E19"/>
    <x:mergeCell ref="A31:E3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37" hidden="0" customWidth="1"/>
    <x:col min="10" max="10" width="37" hidden="0" customWidth="1"/>
    <x:col min="11" max="11" width="48" hidden="0" customWidth="1"/>
  </x:cols>
  <x:sheetData>
    <x:row r="1" ht="38" customHeight="1">
      <x:c r="A1" s="4" t="str">
        <x:v>كتالوج الموديلات المحلية الحديثة</x:v>
      </x:c>
      <x:c r="B1" s="4"/>
      <x:c r="C1" s="4"/>
      <x:c r="D1" s="4"/>
      <x:c r="E1" s="4"/>
      <x:c r="F1" s="4"/>
      <x:c r="G1" s="4"/>
      <x:c r="H1" s="4"/>
      <x:c r="I1" s="4"/>
      <x:c r="J1" s="4"/>
      <x:c r="K1" s="4"/>
    </x:row>
    <x:row r="2" ht="32" customHeight="1">
      <x:c r="A2" s="9" t="str">
        <x:v>الترشيح النهائي يركز على Qwen3.5 لأنه متعدد اللغات/الصور وله GGUF جاهز. الموديلات العملاقة الأخرى توضع في قائمة اختبار لا في baseline الشراء.</x:v>
      </x:c>
      <x:c r="B2" s="9"/>
      <x:c r="C2" s="9"/>
      <x:c r="D2" s="9"/>
      <x:c r="E2" s="9"/>
      <x:c r="F2" s="9"/>
      <x:c r="G2" s="9"/>
      <x:c r="H2" s="9"/>
      <x:c r="I2" s="9"/>
      <x:c r="J2" s="9"/>
      <x:c r="K2" s="9"/>
    </x:row>
    <x:row r="4" ht="34" customHeight="1">
      <x:c r="A4" s="18" t="str">
        <x:v>الموديل</x:v>
      </x:c>
      <x:c r="B4" s="18" t="str">
        <x:v>النوع</x:v>
      </x:c>
      <x:c r="C4" s="18" t="str">
        <x:v>إجمالي/نشط</x:v>
      </x:c>
      <x:c r="D4" s="18" t="str">
        <x:v>السياق</x:v>
      </x:c>
      <x:c r="E4" s="18" t="str">
        <x:v>Vision</x:v>
      </x:c>
      <x:c r="F4" s="18" t="str">
        <x:v>صيغة llama.cpp</x:v>
      </x:c>
      <x:c r="G4" s="18" t="str">
        <x:v>الحجم التقريبي</x:v>
      </x:c>
      <x:c r="H4" s="18" t="str">
        <x:v>الرخصة</x:v>
      </x:c>
      <x:c r="I4" s="18" t="str">
        <x:v>نقاط القوة</x:v>
      </x:c>
      <x:c r="J4" s="18" t="str">
        <x:v>حالة الإنتاج</x:v>
      </x:c>
      <x:c r="K4" s="18" t="str">
        <x:v>الرابط</x:v>
      </x:c>
    </x:row>
    <x:row r="5" ht="65" customHeight="1">
      <x:c r="A5" s="42" t="str">
        <x:v>Qwen3.5-27B</x:v>
      </x:c>
      <x:c r="B5" s="42" t="str">
        <x:v>Dense</x:v>
      </x:c>
      <x:c r="C5" s="42" t="str">
        <x:v>27B / 27B</x:v>
      </x:c>
      <x:c r="D5" s="42" t="str">
        <x:v>262K native</x:v>
      </x:c>
      <x:c r="E5" s="42" t="str">
        <x:v>نعم</x:v>
      </x:c>
      <x:c r="F5" s="42" t="str">
        <x:v>GGUF Q4_K_M</x:v>
      </x:c>
      <x:c r="G5" s="42" t="str">
        <x:v>16.7GB</x:v>
      </x:c>
      <x:c r="H5" s="42" t="str">
        <x:v>Apache-2.0</x:v>
      </x:c>
      <x:c r="I5" s="42" t="str">
        <x:v>عربي/متعدد اللغات، صور، كتابة، ترجمة، كود يومي</x:v>
      </x:c>
      <x:c r="J5" s="42" t="str">
        <x:v>جاهز لـPOC؛ baseline 2M</x:v>
      </x:c>
      <x:c r="K5" s="42" t="str">
        <x:v>https://huggingface.co/Qwen/Qwen3.5-27B</x:v>
      </x:c>
    </x:row>
    <x:row r="6" ht="65" customHeight="1">
      <x:c r="A6" s="115" t="str">
        <x:v>Qwen3.5-122B-A10B</x:v>
      </x:c>
      <x:c r="B6" s="115" t="str">
        <x:v>MoE</x:v>
      </x:c>
      <x:c r="C6" s="115" t="str">
        <x:v>122B / 10B</x:v>
      </x:c>
      <x:c r="D6" s="115" t="str">
        <x:v>262K native</x:v>
      </x:c>
      <x:c r="E6" s="115" t="str">
        <x:v>نعم</x:v>
      </x:c>
      <x:c r="F6" s="115" t="str">
        <x:v>GGUF Q4_K_M</x:v>
      </x:c>
      <x:c r="G6" s="115" t="str">
        <x:v>76.5GB</x:v>
      </x:c>
      <x:c r="H6" s="115" t="str">
        <x:v>Apache-2.0</x:v>
      </x:c>
      <x:c r="I6" s="115" t="str">
        <x:v>أدوات وطرفية وCowork أفضل؛ سعة قوية على GPU واحد</x:v>
      </x:c>
      <x:c r="J6" s="115" t="str">
        <x:v>الموصى به؛ baseline 4M</x:v>
      </x:c>
      <x:c r="K6" s="115" t="str">
        <x:v>https://huggingface.co/Qwen/Qwen3.5-122B-A10B</x:v>
      </x:c>
    </x:row>
    <x:row r="7" ht="65" customHeight="1">
      <x:c r="A7" s="42" t="str">
        <x:v>Qwen3.5-397B-A17B</x:v>
      </x:c>
      <x:c r="B7" s="42" t="str">
        <x:v>MoE</x:v>
      </x:c>
      <x:c r="C7" s="42" t="str">
        <x:v>397B / 17B</x:v>
      </x:c>
      <x:c r="D7" s="42" t="str">
        <x:v>262K native</x:v>
      </x:c>
      <x:c r="E7" s="42" t="str">
        <x:v>نعم</x:v>
      </x:c>
      <x:c r="F7" s="42" t="str">
        <x:v>GGUF Q4_K_M</x:v>
      </x:c>
      <x:c r="G7" s="42" t="str">
        <x:v>244GB</x:v>
      </x:c>
      <x:c r="H7" s="42" t="str">
        <x:v>Apache-2.0</x:v>
      </x:c>
      <x:c r="I7" s="42" t="str">
        <x:v>تخطيط عميق، وكلاء، بحث واسع، أصعب كود</x:v>
      </x:c>
      <x:c r="J7" s="42" t="str">
        <x:v>Premium POC؛ baseline 6M</x:v>
      </x:c>
      <x:c r="K7" s="42" t="str">
        <x:v>https://huggingface.co/Qwen/Qwen3.5-397B-A17B</x:v>
      </x:c>
    </x:row>
    <x:row r="8" ht="65" customHeight="1">
      <x:c r="A8" s="43" t="str">
        <x:v>gpt-oss-120b</x:v>
      </x:c>
      <x:c r="B8" s="43" t="str">
        <x:v>MoE</x:v>
      </x:c>
      <x:c r="C8" s="43" t="str">
        <x:v>117B / 5.1B</x:v>
      </x:c>
      <x:c r="D8" s="43" t="str">
        <x:v>128K</x:v>
      </x:c>
      <x:c r="E8" s="43" t="str">
        <x:v>لا</x:v>
      </x:c>
      <x:c r="F8" s="43" t="str">
        <x:v>MXFP4 native</x:v>
      </x:c>
      <x:c r="G8" s="43" t="str">
        <x:v>نحو 61GB</x:v>
      </x:c>
      <x:c r="H8" s="43" t="str">
        <x:v>Apache-2.0</x:v>
      </x:c>
      <x:c r="I8" s="43" t="str">
        <x:v>Reasoning/كود نصي؛ يعمل ضمن 80GB</x:v>
      </x:c>
      <x:c r="J8" s="43" t="str">
        <x:v>بديل نصي؛ ليس بديلاً للـVision</x:v>
      </x:c>
      <x:c r="K8" s="43" t="str">
        <x:v>https://huggingface.co/openai/gpt-oss-120b</x:v>
      </x:c>
    </x:row>
    <x:row r="9" ht="65" customHeight="1">
      <x:c r="A9" s="42" t="str">
        <x:v>DeepSeek-V3.2</x:v>
      </x:c>
      <x:c r="B9" s="42" t="str">
        <x:v>MoE</x:v>
      </x:c>
      <x:c r="C9" s="42" t="str">
        <x:v>نحو 685B</x:v>
      </x:c>
      <x:c r="D9" s="42" t="str">
        <x:v>راجع البطاقة</x:v>
      </x:c>
      <x:c r="E9" s="42" t="str">
        <x:v>لا</x:v>
      </x:c>
      <x:c r="F9" s="42" t="str">
        <x:v>GGUF Q4_K_M</x:v>
      </x:c>
      <x:c r="G9" s="42" t="str">
        <x:v>نحو 405GB</x:v>
      </x:c>
      <x:c r="H9" s="42" t="str">
        <x:v>MIT</x:v>
      </x:c>
      <x:c r="I9" s="42" t="str">
        <x:v>Reasoning/agentic قوي</x:v>
      </x:c>
      <x:c r="J9" s="42" t="str">
        <x:v>Watchlist؛ footprint كبير وقالب الأدوات يحتاج تحقق</x:v>
      </x:c>
      <x:c r="K9" s="42" t="str">
        <x:v>https://huggingface.co/deepseek-ai/DeepSeek-V3.2</x:v>
      </x:c>
    </x:row>
    <x:row r="10" ht="65" customHeight="1">
      <x:c r="A10" s="43" t="str">
        <x:v>Kimi-K2.7-Code</x:v>
      </x:c>
      <x:c r="B10" s="43" t="str">
        <x:v>MoE</x:v>
      </x:c>
      <x:c r="C10" s="43" t="str">
        <x:v>1T / 32B</x:v>
      </x:c>
      <x:c r="D10" s="43" t="str">
        <x:v>256K</x:v>
      </x:c>
      <x:c r="E10" s="43" t="str">
        <x:v>نعم</x:v>
      </x:c>
      <x:c r="F10" s="43" t="str">
        <x:v>GGUF مجتمعي</x:v>
      </x:c>
      <x:c r="G10" s="43" t="str">
        <x:v>نحو 621GB Q4</x:v>
      </x:c>
      <x:c r="H10" s="43" t="str">
        <x:v>Modified MIT</x:v>
      </x:c>
      <x:c r="I10" s="43" t="str">
        <x:v>Coding agents، MCP، سياق مستودعات</x:v>
      </x:c>
      <x:c r="J10" s="43" t="str">
        <x:v>Watchlist؛ حديث وضخم، لا يعتمد للشراء قبل POC</x:v>
      </x:c>
      <x:c r="K10" s="43" t="str">
        <x:v>https://huggingface.co/moonshotai/Kimi-K2.7-Code</x:v>
      </x:c>
    </x:row>
    <x:row r="12">
      <x:c r="A12" s="50" t="str">
        <x:v>ملاحظة تسمية: لم يُستخدم اسم Qwen3.6-27B في الحساب لأننا لم نتحقق من إصدار رسمي بهذا الاسم في بطاقة Qwen حتى تاريخ التحليل. استخدمنا Qwen3.5-27B الرسمي الأحدث المتحقق منه. دعم GGUF لا يعني تلقائياً جاهزية SLA؛ بطاقة Qwen توصي بمحركات high-throughput للإنتاج، لذلك يجب اعتماد llama.cpp فقط بعد اختبار الحمل الكامل.</x:v>
      </x:c>
      <x:c r="B12" s="50"/>
      <x:c r="C12" s="50"/>
      <x:c r="D12" s="50"/>
      <x:c r="E12" s="50"/>
      <x:c r="F12" s="50"/>
      <x:c r="G12" s="50"/>
      <x:c r="H12" s="50"/>
      <x:c r="I12" s="50"/>
      <x:c r="J12" s="50"/>
      <x:c r="K12" s="50"/>
    </x:row>
    <x:row r="13">
      <x:c r="A13" s="50"/>
      <x:c r="B13" s="50"/>
      <x:c r="C13" s="50"/>
      <x:c r="D13" s="50"/>
      <x:c r="E13" s="50"/>
      <x:c r="F13" s="50"/>
      <x:c r="G13" s="50"/>
      <x:c r="H13" s="50"/>
      <x:c r="I13" s="50"/>
      <x:c r="J13" s="50"/>
      <x:c r="K13" s="50"/>
    </x:row>
    <x:row r="14">
      <x:c r="A14" s="50"/>
      <x:c r="B14" s="50"/>
      <x:c r="C14" s="50"/>
      <x:c r="D14" s="50"/>
      <x:c r="E14" s="50"/>
      <x:c r="F14" s="50"/>
      <x:c r="G14" s="50"/>
      <x:c r="H14" s="50"/>
      <x:c r="I14" s="50"/>
      <x:c r="J14" s="50"/>
      <x:c r="K14" s="50"/>
    </x:row>
    <x:row r="17" ht="28" customHeight="1">
      <x:c r="A17" s="13" t="str">
        <x:v>قرار الاختيار</x:v>
      </x:c>
      <x:c r="B17" s="13"/>
      <x:c r="C17" s="13"/>
      <x:c r="D17" s="13"/>
      <x:c r="E17" s="13"/>
      <x:c r="F17" s="13"/>
      <x:c r="G17" s="13"/>
      <x:c r="H17" s="13"/>
      <x:c r="I17" s="13"/>
      <x:c r="J17" s="13"/>
      <x:c r="K17" s="13"/>
    </x:row>
    <x:row r="18">
      <x:c r="A18" s="119" t="str">
        <x:v>الأسرة المختارة: Qwen3.5. السبب: تغطية متعددة اللغات مناسبة للعربية، Vision مدمج، أحجام 27B/122B/397B تسمح بسلم تجاري واضح، ومعايير رسمية قابلة للمقارنة. gpt-oss-120b ممتاز كمسار نصي بديل، بينما DeepSeek-V3.2 وKimi-K2.7-Code يحتاجان عتاداً وPOC أكبر ولا يقدمان baseline أبسط لهذه المنصة.</x:v>
      </x:c>
      <x:c r="B18" s="119"/>
      <x:c r="C18" s="119"/>
      <x:c r="D18" s="119"/>
      <x:c r="E18" s="119"/>
      <x:c r="F18" s="119"/>
      <x:c r="G18" s="119"/>
      <x:c r="H18" s="119"/>
      <x:c r="I18" s="119"/>
      <x:c r="J18" s="119"/>
      <x:c r="K18" s="119"/>
    </x:row>
    <x:row r="19">
      <x:c r="A19" s="119"/>
      <x:c r="B19" s="119"/>
      <x:c r="C19" s="119"/>
      <x:c r="D19" s="119"/>
      <x:c r="E19" s="119"/>
      <x:c r="F19" s="119"/>
      <x:c r="G19" s="119"/>
      <x:c r="H19" s="119"/>
      <x:c r="I19" s="119"/>
      <x:c r="J19" s="119"/>
      <x:c r="K19" s="119"/>
    </x:row>
    <x:row r="20">
      <x:c r="A20" s="119"/>
      <x:c r="B20" s="119"/>
      <x:c r="C20" s="119"/>
      <x:c r="D20" s="119"/>
      <x:c r="E20" s="119"/>
      <x:c r="F20" s="119"/>
      <x:c r="G20" s="119"/>
      <x:c r="H20" s="119"/>
      <x:c r="I20" s="119"/>
      <x:c r="J20" s="119"/>
      <x:c r="K20" s="119"/>
    </x:row>
  </x:sheetData>
  <x:mergeCells>
    <x:mergeCell ref="A1:K1"/>
    <x:mergeCell ref="A2:K2"/>
    <x:mergeCell ref="A12:K14"/>
    <x:mergeCell ref="A17:K17"/>
    <x:mergeCell ref="A18:K2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9" hidden="0" customWidth="1"/>
    <x:col min="4" max="4" width="37" hidden="0" customWidth="1"/>
    <x:col min="5" max="5" width="37" hidden="0" customWidth="1"/>
    <x:col min="6" max="6" width="34" hidden="0" customWidth="1"/>
    <x:col min="7" max="7" width="29" hidden="0" customWidth="1"/>
  </x:cols>
  <x:sheetData>
    <x:row r="1" ht="38" customHeight="1">
      <x:c r="A1" s="4" t="str">
        <x:v>معايير الأداء الرسمية</x:v>
      </x:c>
      <x:c r="B1" s="4"/>
      <x:c r="C1" s="4"/>
      <x:c r="D1" s="4"/>
      <x:c r="E1" s="4"/>
      <x:c r="F1" s="4"/>
      <x:c r="G1" s="4"/>
    </x:row>
    <x:row r="2" ht="32" customHeight="1">
      <x:c r="A2" s="9" t="str">
        <x:v>درجات منشورة في بطاقات Qwen الرسمية. المؤشر المركب مخصص لمهام المنصة الوكيلة، وليس معيار جودة مطلقاً.</x:v>
      </x:c>
      <x:c r="B2" s="9"/>
      <x:c r="C2" s="9"/>
      <x:c r="D2" s="9"/>
      <x:c r="E2" s="9"/>
      <x:c r="F2" s="9"/>
      <x:c r="G2" s="9"/>
    </x:row>
    <x:row r="4" ht="34" customHeight="1">
      <x:c r="A4" s="18" t="str">
        <x:v>المعيار</x:v>
      </x:c>
      <x:c r="B4" s="18" t="str">
        <x:v>الوزن بالمؤشر</x:v>
      </x:c>
      <x:c r="C4" s="18" t="str">
        <x:v>Qwen3.5-27B</x:v>
      </x:c>
      <x:c r="D4" s="18" t="str">
        <x:v>Qwen3.5-122B-A10B</x:v>
      </x:c>
      <x:c r="E4" s="18" t="str">
        <x:v>Qwen3.5-397B-A17B</x:v>
      </x:c>
      <x:c r="F4" s="18" t="str">
        <x:v>ماذا يقيس؟</x:v>
      </x:c>
      <x:c r="G4" s="18" t="str">
        <x:v>المصدر</x:v>
      </x:c>
    </x:row>
    <x:row r="5">
      <x:c r="A5" s="23" t="str">
        <x:v>MMLU-Pro</x:v>
      </x:c>
      <x:c r="B5" s="51" t="n">
        <x:v>0</x:v>
      </x:c>
      <x:c r="C5" s="52" t="n">
        <x:v>86.1</x:v>
      </x:c>
      <x:c r="D5" s="52" t="n">
        <x:v>86.7</x:v>
      </x:c>
      <x:c r="E5" s="52" t="n">
        <x:v>87.8</x:v>
      </x:c>
      <x:c r="F5" s="23" t="str">
        <x:v>معرفة واستدلال عام</x:v>
      </x:c>
      <x:c r="G5" s="23" t="str">
        <x:v>بطاقات Qwen الرسمية</x:v>
      </x:c>
    </x:row>
    <x:row r="6">
      <x:c r="A6" s="30" t="str">
        <x:v>GPQA Diamond</x:v>
      </x:c>
      <x:c r="B6" s="53" t="n">
        <x:v>0</x:v>
      </x:c>
      <x:c r="C6" s="54" t="n">
        <x:v>85.5</x:v>
      </x:c>
      <x:c r="D6" s="54" t="n">
        <x:v>86.6</x:v>
      </x:c>
      <x:c r="E6" s="54" t="n">
        <x:v>88.4</x:v>
      </x:c>
      <x:c r="F6" s="30" t="str">
        <x:v>استدلال علمي صعب</x:v>
      </x:c>
      <x:c r="G6" s="30" t="str">
        <x:v>بطاقات Qwen الرسمية</x:v>
      </x:c>
    </x:row>
    <x:row r="7">
      <x:c r="A7" s="23" t="str">
        <x:v>SWE-bench Verified</x:v>
      </x:c>
      <x:c r="B7" s="51" t="n">
        <x:v>0.25</x:v>
      </x:c>
      <x:c r="C7" s="52" t="n">
        <x:v>72.4</x:v>
      </x:c>
      <x:c r="D7" s="52" t="n">
        <x:v>72</x:v>
      </x:c>
      <x:c r="E7" s="52" t="n">
        <x:v>76.4</x:v>
      </x:c>
      <x:c r="F7" s="23" t="str">
        <x:v>حل مشكلات برمجية حقيقية</x:v>
      </x:c>
      <x:c r="G7" s="23" t="str">
        <x:v>بطاقات Qwen الرسمية</x:v>
      </x:c>
    </x:row>
    <x:row r="8">
      <x:c r="A8" s="30" t="str">
        <x:v>Terminal Bench 2</x:v>
      </x:c>
      <x:c r="B8" s="53" t="n">
        <x:v>0.2</x:v>
      </x:c>
      <x:c r="C8" s="54" t="n">
        <x:v>41.6</x:v>
      </x:c>
      <x:c r="D8" s="54" t="n">
        <x:v>49.4</x:v>
      </x:c>
      <x:c r="E8" s="54" t="n">
        <x:v>52.5</x:v>
      </x:c>
      <x:c r="F8" s="30" t="str">
        <x:v>تنفيذ مهام طرفية متعددة الخطوات</x:v>
      </x:c>
      <x:c r="G8" s="30" t="str">
        <x:v>بطاقات Qwen الرسمية</x:v>
      </x:c>
    </x:row>
    <x:row r="9">
      <x:c r="A9" s="23" t="str">
        <x:v>BFCL-V4</x:v>
      </x:c>
      <x:c r="B9" s="51" t="n">
        <x:v>0.2</x:v>
      </x:c>
      <x:c r="C9" s="52" t="n">
        <x:v>68.5</x:v>
      </x:c>
      <x:c r="D9" s="52" t="n">
        <x:v>72.2</x:v>
      </x:c>
      <x:c r="E9" s="52" t="n">
        <x:v>72.9</x:v>
      </x:c>
      <x:c r="F9" s="23" t="str">
        <x:v>اختيار الأدوات واستدعاء الدوال</x:v>
      </x:c>
      <x:c r="G9" s="23" t="str">
        <x:v>بطاقات Qwen الرسمية</x:v>
      </x:c>
    </x:row>
    <x:row r="10">
      <x:c r="A10" s="30" t="str">
        <x:v>TAU2-Bench</x:v>
      </x:c>
      <x:c r="B10" s="53" t="n">
        <x:v>0.15</x:v>
      </x:c>
      <x:c r="C10" s="54" t="n">
        <x:v>79</x:v>
      </x:c>
      <x:c r="D10" s="54" t="n">
        <x:v>79.5</x:v>
      </x:c>
      <x:c r="E10" s="54" t="n">
        <x:v>86.7</x:v>
      </x:c>
      <x:c r="F10" s="30" t="str">
        <x:v>وكلاء في سيناريوهات أعمال</x:v>
      </x:c>
      <x:c r="G10" s="30" t="str">
        <x:v>بطاقات Qwen الرسمية</x:v>
      </x:c>
    </x:row>
    <x:row r="11">
      <x:c r="A11" s="23" t="str">
        <x:v>DeepPlanning</x:v>
      </x:c>
      <x:c r="B11" s="51" t="n">
        <x:v>0.2</x:v>
      </x:c>
      <x:c r="C11" s="52" t="n">
        <x:v>22.6</x:v>
      </x:c>
      <x:c r="D11" s="52" t="n">
        <x:v>24.1</x:v>
      </x:c>
      <x:c r="E11" s="52" t="n">
        <x:v>34.3</x:v>
      </x:c>
      <x:c r="F11" s="23" t="str">
        <x:v>التخطيط العميق طويل الأفق</x:v>
      </x:c>
      <x:c r="G11" s="23" t="str">
        <x:v>بطاقات Qwen الرسمية</x:v>
      </x:c>
    </x:row>
    <x:row r="12">
      <x:c r="A12" s="30" t="str">
        <x:v>MMLU-ProX</x:v>
      </x:c>
      <x:c r="B12" s="53" t="n">
        <x:v>0</x:v>
      </x:c>
      <x:c r="C12" s="54" t="n">
        <x:v>82.2</x:v>
      </x:c>
      <x:c r="D12" s="54" t="n">
        <x:v>82.2</x:v>
      </x:c>
      <x:c r="E12" s="54" t="n">
        <x:v>84.7</x:v>
      </x:c>
      <x:c r="F12" s="30" t="str">
        <x:v>قدرات متعددة اللغات</x:v>
      </x:c>
      <x:c r="G12" s="30" t="str">
        <x:v>بطاقات Qwen الرسمية</x:v>
      </x:c>
    </x:row>
    <x:row r="13">
      <x:c r="A13" s="23" t="str">
        <x:v>WideSearch</x:v>
      </x:c>
      <x:c r="B13" s="51" t="n">
        <x:v>0</x:v>
      </x:c>
      <x:c r="C13" s="52" t="n">
        <x:v>61.1</x:v>
      </x:c>
      <x:c r="D13" s="52" t="n">
        <x:v>60.5</x:v>
      </x:c>
      <x:c r="E13" s="52" t="n">
        <x:v>74</x:v>
      </x:c>
      <x:c r="F13" s="23" t="str">
        <x:v>بحث واسع متعدد الخطوات</x:v>
      </x:c>
      <x:c r="G13" s="23" t="str">
        <x:v>بطاقات Qwen الرسمية</x:v>
      </x:c>
    </x:row>
    <x:row r="15" ht="34" customHeight="1">
      <x:c r="A15" s="18" t="str">
        <x:v>الحساب</x:v>
      </x:c>
      <x:c r="B15" s="18" t="str">
        <x:v>الوزن</x:v>
      </x:c>
      <x:c r="C15" s="18" t="str">
        <x:v>27B</x:v>
      </x:c>
      <x:c r="D15" s="18" t="str">
        <x:v>122B</x:v>
      </x:c>
      <x:c r="E15" s="18" t="str">
        <x:v>397B</x:v>
      </x:c>
    </x:row>
    <x:row r="16">
      <x:c r="A16" s="59" t="str">
        <x:v>مؤشر المهام الوكيلة المركب</x:v>
      </x:c>
      <x:c r="B16" s="59" t="str">
        <x:v>SWE 25% + Terminal 20% + BFCL 20% + TAU2 15% + Planning 20%</x:v>
      </x:c>
      <x:c r="C16" s="62" t="n">
        <x:f>SUMPRODUCT($B$5:$B$13,C5:C13)</x:f>
        <x:v>56.49000000000001</x:v>
      </x:c>
      <x:c r="D16" s="62" t="n">
        <x:f>SUMPRODUCT($B$5:$B$13,D5:D13)</x:f>
        <x:v>59.065000000000005</x:v>
      </x:c>
      <x:c r="E16" s="62" t="n">
        <x:f>SUMPRODUCT($B$5:$B$13,E5:E13)</x:f>
        <x:v>64.04500000000002</x:v>
      </x:c>
    </x:row>
    <x:row r="19" ht="28" customHeight="1">
      <x:c r="A19" s="13" t="str">
        <x:v>فروق الأداء التي تبرر القرار</x:v>
      </x:c>
      <x:c r="B19" s="13"/>
      <x:c r="C19" s="13"/>
      <x:c r="D19" s="13"/>
      <x:c r="E19" s="13"/>
    </x:row>
    <x:row r="20" ht="34" customHeight="1">
      <x:c r="A20" s="18" t="str">
        <x:v>المعيار</x:v>
      </x:c>
      <x:c r="B20" s="18" t="str">
        <x:v>122B مقابل 27B</x:v>
      </x:c>
      <x:c r="C20" s="18" t="str">
        <x:v>397B مقابل 122B</x:v>
      </x:c>
      <x:c r="D20" s="18" t="str">
        <x:v>التفسير العملي</x:v>
      </x:c>
      <x:c r="E20" s="18" t="str">
        <x:v>الخلاصة</x:v>
      </x:c>
    </x:row>
    <x:row r="21" ht="38" customHeight="1">
      <x:c r="A21" s="23" t="str">
        <x:v>SWE-bench</x:v>
      </x:c>
      <x:c r="B21" s="64" t="n">
        <x:f>D7-C7</x:f>
        <x:v>-0.4000000000000057</x:v>
      </x:c>
      <x:c r="C21" s="64" t="n">
        <x:f>E7-D7</x:f>
        <x:v>4.400000000000006</x:v>
      </x:c>
      <x:c r="D21" s="23" t="str">
        <x:v>122B متقارب؛ 397B أفضل في إصلاحات الكود الصعبة</x:v>
      </x:c>
      <x:c r="E21" s="23" t="str">
        <x:v>قفزة 397B أوضح</x:v>
      </x:c>
    </x:row>
    <x:row r="22" ht="38" customHeight="1">
      <x:c r="A22" s="30" t="str">
        <x:v>Terminal Bench</x:v>
      </x:c>
      <x:c r="B22" s="65" t="n">
        <x:f>D8-C8</x:f>
        <x:v>7.799999999999997</x:v>
      </x:c>
      <x:c r="C22" s="65" t="n">
        <x:f>E8-D8</x:f>
        <x:v>3.1000000000000014</x:v>
      </x:c>
      <x:c r="D22" s="30" t="str">
        <x:v>122B يتحسن في التنفيذ الطرفي</x:v>
      </x:c>
      <x:c r="E22" s="30" t="str">
        <x:v>397B يزيد الاعتمادية</x:v>
      </x:c>
    </x:row>
    <x:row r="23" ht="38" customHeight="1">
      <x:c r="A23" s="23" t="str">
        <x:v>BFCL</x:v>
      </x:c>
      <x:c r="B23" s="64" t="n">
        <x:f>D9-C9</x:f>
        <x:v>3.700000000000003</x:v>
      </x:c>
      <x:c r="C23" s="64" t="n">
        <x:f>E9-D9</x:f>
        <x:v>0.7000000000000028</x:v>
      </x:c>
      <x:c r="D23" s="23" t="str">
        <x:v>تحسن واضح في استخدام الأدوات عند 122B</x:v>
      </x:c>
      <x:c r="E23" s="23" t="str">
        <x:v>الفارق بعد 122B محدود</x:v>
      </x:c>
    </x:row>
    <x:row r="24" ht="38" customHeight="1">
      <x:c r="A24" s="30" t="str">
        <x:v>TAU2</x:v>
      </x:c>
      <x:c r="B24" s="65" t="n">
        <x:f>D10-C10</x:f>
        <x:v>0.5</x:v>
      </x:c>
      <x:c r="C24" s="65" t="n">
        <x:f>E10-D10</x:f>
        <x:v>7.200000000000003</x:v>
      </x:c>
      <x:c r="D24" s="30" t="str">
        <x:v>الفارق 27→122 بسيط</x:v>
      </x:c>
      <x:c r="E24" s="30" t="str">
        <x:v>قفزة قوية عند 397B</x:v>
      </x:c>
    </x:row>
    <x:row r="25" ht="38" customHeight="1">
      <x:c r="A25" s="23" t="str">
        <x:v>DeepPlanning</x:v>
      </x:c>
      <x:c r="B25" s="64" t="n">
        <x:f>D11-C11</x:f>
        <x:v>1.5</x:v>
      </x:c>
      <x:c r="C25" s="64" t="n">
        <x:f>E11-D11</x:f>
        <x:v>10.199999999999996</x:v>
      </x:c>
      <x:c r="D25" s="23" t="str">
        <x:v>تحسن محدود 27→122</x:v>
      </x:c>
      <x:c r="E25" s="23" t="str">
        <x:v>أكبر فرق نوعي لصالح 397B</x:v>
      </x:c>
    </x:row>
    <x:row r="26" ht="38" customHeight="1">
      <x:c r="A26" s="30" t="str">
        <x:v>MMLU-ProX</x:v>
      </x:c>
      <x:c r="B26" s="65" t="n">
        <x:f>D12-C12</x:f>
        <x:v>0</x:v>
      </x:c>
      <x:c r="C26" s="65" t="n">
        <x:f>E12-D12</x:f>
        <x:v>2.5</x:v>
      </x:c>
      <x:c r="D26" s="30" t="str">
        <x:v>122B دون فرق؛ 397B أفضل متعدد اللغات</x:v>
      </x:c>
      <x:c r="E26" s="30" t="str">
        <x:v>مهم للعربية/الإنجليزية</x:v>
      </x:c>
    </x:row>
    <x:row r="27" ht="38" customHeight="1">
      <x:c r="A27" s="23" t="str">
        <x:v>المؤشر المركب</x:v>
      </x:c>
      <x:c r="B27" s="64" t="n">
        <x:f>D16-C16</x:f>
        <x:v>2.5749999999999957</x:v>
      </x:c>
      <x:c r="C27" s="64" t="n">
        <x:f>E16-D16</x:f>
        <x:v>4.980000000000011</x:v>
      </x:c>
      <x:c r="D27" s="23" t="str">
        <x:v>زيادة مركبة وليست ضماناً لكل مهمة</x:v>
      </x:c>
      <x:c r="E27" s="23" t="str">
        <x:v>تدعم القرار لا تستبدل الـPOC</x:v>
      </x:c>
    </x:row>
  </x:sheetData>
  <x:mergeCells>
    <x:mergeCell ref="A1:G1"/>
    <x:mergeCell ref="A2:G2"/>
    <x:mergeCell ref="A19:E1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7" hidden="0" customWidth="1"/>
    <x:col min="3" max="3" width="21" hidden="0" customWidth="1"/>
    <x:col min="4" max="4" width="19" hidden="0" customWidth="1"/>
    <x:col min="5" max="5" width="31" hidden="0" customWidth="1"/>
    <x:col min="6" max="6" width="18" hidden="0" customWidth="1"/>
    <x:col min="7" max="7" width="19" hidden="0" customWidth="1"/>
    <x:col min="8" max="8" width="58" hidden="0" customWidth="1"/>
  </x:cols>
  <x:sheetData>
    <x:row r="1" ht="38" customHeight="1">
      <x:c r="A1" s="4" t="str">
        <x:v>الافتراضات والمصادر</x:v>
      </x:c>
      <x:c r="B1" s="4"/>
      <x:c r="C1" s="4"/>
      <x:c r="D1" s="4"/>
      <x:c r="E1" s="4"/>
      <x:c r="F1" s="4"/>
      <x:c r="G1" s="4"/>
      <x:c r="H1" s="4"/>
    </x:row>
    <x:row r="2" ht="32" customHeight="1">
      <x:c r="A2" s="9" t="str">
        <x:v>جميع الأرقام الزرقاء مدخلات قابلة للتعديل. الأسعار تقديرية للتخطيط وليست عروض أسعار ملزمة. تاريخ التحليل: 2026-07-13.</x:v>
      </x:c>
      <x:c r="B2" s="9"/>
      <x:c r="C2" s="9"/>
      <x:c r="D2" s="9"/>
      <x:c r="E2" s="9"/>
      <x:c r="F2" s="9"/>
      <x:c r="G2" s="9"/>
      <x:c r="H2" s="9"/>
    </x:row>
    <x:row r="4" ht="28" customHeight="1">
      <x:c r="A4" s="13" t="str">
        <x:v>افتراضات التشغيل والعتاد</x:v>
      </x:c>
      <x:c r="B4" s="13"/>
      <x:c r="C4" s="13"/>
      <x:c r="D4" s="13"/>
      <x:c r="E4" s="13"/>
    </x:row>
    <x:row r="5" ht="34" customHeight="1">
      <x:c r="A5" s="18" t="str">
        <x:v>البند</x:v>
      </x:c>
      <x:c r="B5" s="18" t="str">
        <x:v>القيمة</x:v>
      </x:c>
      <x:c r="C5" s="18" t="str">
        <x:v>الوحدة</x:v>
      </x:c>
      <x:c r="D5" s="18" t="str">
        <x:v>الغرض</x:v>
      </x:c>
      <x:c r="E5" s="18" t="str">
        <x:v>ملاحظة</x:v>
      </x:c>
    </x:row>
    <x:row r="6">
      <x:c r="A6" s="23" t="str">
        <x:v>المستخدمون المتزامنون فعلياً</x:v>
      </x:c>
      <x:c r="B6" s="26" t="n">
        <x:v>35</x:v>
      </x:c>
      <x:c r="C6" s="23" t="str">
        <x:v>طلب توليد نشط</x:v>
      </x:c>
      <x:c r="D6" s="23" t="str">
        <x:v>السعة</x:v>
      </x:c>
      <x:c r="E6" s="23" t="str">
        <x:v>ليس عدد الحسابات المسجلة</x:v>
      </x:c>
    </x:row>
    <x:row r="7">
      <x:c r="A7" s="30" t="str">
        <x:v>متوسط توكنات الإدخال</x:v>
      </x:c>
      <x:c r="B7" s="31" t="n">
        <x:v>8000</x:v>
      </x:c>
      <x:c r="C7" s="30" t="str">
        <x:v>token/طلب</x:v>
      </x:c>
      <x:c r="D7" s="30" t="str">
        <x:v>الأداء</x:v>
      </x:c>
      <x:c r="E7" s="30" t="str">
        <x:v>يشمل تاريخاً مختصراً وسياق المشروع</x:v>
      </x:c>
    </x:row>
    <x:row r="8">
      <x:c r="A8" s="23" t="str">
        <x:v>متوسط توكنات الإخراج</x:v>
      </x:c>
      <x:c r="B8" s="26" t="n">
        <x:v>800</x:v>
      </x:c>
      <x:c r="C8" s="23" t="str">
        <x:v>token/طلب</x:v>
      </x:c>
      <x:c r="D8" s="23" t="str">
        <x:v>الأداء</x:v>
      </x:c>
      <x:c r="E8" s="23" t="str">
        <x:v>يستخدم لحساب زمن البث التقريبي</x:v>
      </x:c>
    </x:row>
    <x:row r="9">
      <x:c r="A9" s="30" t="str">
        <x:v>سياق الإنتاج لكل slot</x:v>
      </x:c>
      <x:c r="B9" s="31" t="n">
        <x:v>32768</x:v>
      </x:c>
      <x:c r="C9" s="30" t="str">
        <x:v>token</x:v>
      </x:c>
      <x:c r="D9" s="30" t="str">
        <x:v>KV cache</x:v>
      </x:c>
      <x:c r="E9" s="30" t="str">
        <x:v>مناسب للمسار الاعتيادي</x:v>
      </x:c>
    </x:row>
    <x:row r="10">
      <x:c r="A10" s="23" t="str">
        <x:v>مسار السياق العميق</x:v>
      </x:c>
      <x:c r="B10" s="26" t="n">
        <x:v>131072</x:v>
      </x:c>
      <x:c r="C10" s="23" t="str">
        <x:v>token</x:v>
      </x:c>
      <x:c r="D10" s="23" t="str">
        <x:v>KV cache</x:v>
      </x:c>
      <x:c r="E10" s="23" t="str">
        <x:v>بتزامن أقل عند الملفات الطويلة</x:v>
      </x:c>
    </x:row>
    <x:row r="11">
      <x:c r="A11" s="30" t="str">
        <x:v>ضريبة القيمة المضافة</x:v>
      </x:c>
      <x:c r="B11" s="32" t="n">
        <x:v>0.15</x:v>
      </x:c>
      <x:c r="C11" s="30" t="str">
        <x:v>%</x:v>
      </x:c>
      <x:c r="D11" s="30" t="str">
        <x:v>التكلفة</x:v>
      </x:c>
      <x:c r="E11" s="30" t="str">
        <x:v>ميزانيات 2/4/6 مليون شاملة الضريبة</x:v>
      </x:c>
    </x:row>
    <x:row r="12">
      <x:c r="A12" s="23" t="str">
        <x:v>سعر صرف الدولار</x:v>
      </x:c>
      <x:c r="B12" s="28" t="n">
        <x:v>3.75</x:v>
      </x:c>
      <x:c r="C12" s="23" t="str">
        <x:v>SAR/USD</x:v>
      </x:c>
      <x:c r="D12" s="23" t="str">
        <x:v>التكلفة</x:v>
      </x:c>
      <x:c r="E12" s="23" t="str">
        <x:v>ربط الريال بالدولار</x:v>
      </x:c>
    </x:row>
    <x:row r="13">
      <x:c r="A13" s="30" t="str">
        <x:v>معامل كفاءة مركز البيانات PUE</x:v>
      </x:c>
      <x:c r="B13" s="33" t="n">
        <x:v>1.3</x:v>
      </x:c>
      <x:c r="C13" s="30" t="str">
        <x:v>x</x:v>
      </x:c>
      <x:c r="D13" s="30" t="str">
        <x:v>الطاقة</x:v>
      </x:c>
      <x:c r="E13" s="30" t="str">
        <x:v>مركز بيانات قائم وكفؤ</x:v>
      </x:c>
    </x:row>
    <x:row r="14">
      <x:c r="A14" s="23" t="str">
        <x:v>سعر node بثماني RTX PRO 6000</x:v>
      </x:c>
      <x:c r="B14" s="29" t="n">
        <x:v>150000</x:v>
      </x:c>
      <x:c r="C14" s="23" t="str">
        <x:v>USD</x:v>
      </x:c>
      <x:c r="D14" s="23" t="str">
        <x:v>التكلفة</x:v>
      </x:c>
      <x:c r="E14" s="23" t="str">
        <x:v>تقدير محافظ من HPE؛ يتحقق بعرض محلي</x:v>
      </x:c>
    </x:row>
    <x:row r="15">
      <x:c r="A15" s="30" t="str">
        <x:v>سعر node بثماني NVIDIA B200</x:v>
      </x:c>
      <x:c r="B15" s="34" t="n">
        <x:v>381251.25</x:v>
      </x:c>
      <x:c r="C15" s="30" t="str">
        <x:v>USD</x:v>
      </x:c>
      <x:c r="D15" s="30" t="str">
        <x:v>التكلفة</x:v>
      </x:c>
      <x:c r="E15" s="30" t="str">
        <x:v>سعر نظام قياسي منشور؛ الشحن/الدعم قد يغيرانه</x:v>
      </x:c>
    </x:row>
    <x:row r="16">
      <x:c r="A16" s="23" t="str">
        <x:v>عدد GPU في RTX node</x:v>
      </x:c>
      <x:c r="B16" s="28" t="n">
        <x:v>8</x:v>
      </x:c>
      <x:c r="C16" s="23" t="str">
        <x:v>GPU</x:v>
      </x:c>
      <x:c r="D16" s="23" t="str">
        <x:v>السعة</x:v>
      </x:c>
      <x:c r="E16" s="23" t="str">
        <x:v>RTX PRO 6000 Server Edition</x:v>
      </x:c>
    </x:row>
    <x:row r="17">
      <x:c r="A17" s="30" t="str">
        <x:v>عدد GPU في B200 node</x:v>
      </x:c>
      <x:c r="B17" s="33" t="n">
        <x:v>8</x:v>
      </x:c>
      <x:c r="C17" s="30" t="str">
        <x:v>GPU</x:v>
      </x:c>
      <x:c r="D17" s="30" t="str">
        <x:v>السعة</x:v>
      </x:c>
      <x:c r="E17" s="30" t="str">
        <x:v>NVIDIA B200</x:v>
      </x:c>
    </x:row>
    <x:row r="18">
      <x:c r="A18" s="23" t="str">
        <x:v>ذاكرة RTX GPU</x:v>
      </x:c>
      <x:c r="B18" s="28" t="n">
        <x:v>96</x:v>
      </x:c>
      <x:c r="C18" s="23" t="str">
        <x:v>GB</x:v>
      </x:c>
      <x:c r="D18" s="23" t="str">
        <x:v>السعة</x:v>
      </x:c>
      <x:c r="E18" s="23" t="str">
        <x:v>GDDR7 ECC</x:v>
      </x:c>
    </x:row>
    <x:row r="19">
      <x:c r="A19" s="30" t="str">
        <x:v>ذاكرة B200 GPU</x:v>
      </x:c>
      <x:c r="B19" s="33" t="n">
        <x:v>180</x:v>
      </x:c>
      <x:c r="C19" s="30" t="str">
        <x:v>GB</x:v>
      </x:c>
      <x:c r="D19" s="30" t="str">
        <x:v>السعة</x:v>
      </x:c>
      <x:c r="E19" s="30" t="str">
        <x:v>HBM3e</x:v>
      </x:c>
    </x:row>
    <x:row r="20">
      <x:c r="A20" s="23" t="str">
        <x:v>الطاقة القصوى لـ RTX node</x:v>
      </x:c>
      <x:c r="B20" s="28" t="n">
        <x:v>7</x:v>
      </x:c>
      <x:c r="C20" s="23" t="str">
        <x:v>kW</x:v>
      </x:c>
      <x:c r="D20" s="23" t="str">
        <x:v>الطاقة</x:v>
      </x:c>
      <x:c r="E20" s="23" t="str">
        <x:v>حسب تكوين 8-GPU المرجعي</x:v>
      </x:c>
    </x:row>
    <x:row r="21">
      <x:c r="A21" s="30" t="str">
        <x:v>الطاقة القصوى لـ B200 node</x:v>
      </x:c>
      <x:c r="B21" s="33" t="n">
        <x:v>14.3</x:v>
      </x:c>
      <x:c r="C21" s="30" t="str">
        <x:v>kW</x:v>
      </x:c>
      <x:c r="D21" s="30" t="str">
        <x:v>الطاقة</x:v>
      </x:c>
      <x:c r="E21" s="30" t="str">
        <x:v>حسب DGX B200</x:v>
      </x:c>
    </x:row>
    <x:row r="22">
      <x:c r="A22" s="23" t="str">
        <x:v>إخراج replica: Qwen3.5-27B</x:v>
      </x:c>
      <x:c r="B22" s="28" t="n">
        <x:v>65</x:v>
      </x:c>
      <x:c r="C22" s="23" t="str">
        <x:v>token/s</x:v>
      </x:c>
      <x:c r="D22" s="23" t="str">
        <x:v>تقدير تخطيط</x:v>
      </x:c>
      <x:c r="E22" s="23" t="str">
        <x:v>llama.cpp Q4_K_M على RTX؛ يتطلب benchmark</x:v>
      </x:c>
    </x:row>
    <x:row r="23">
      <x:c r="A23" s="30" t="str">
        <x:v>إخراج replica: Qwen3.5-122B-A10B</x:v>
      </x:c>
      <x:c r="B23" s="33" t="n">
        <x:v>50</x:v>
      </x:c>
      <x:c r="C23" s="30" t="str">
        <x:v>token/s</x:v>
      </x:c>
      <x:c r="D23" s="30" t="str">
        <x:v>تقدير تخطيط</x:v>
      </x:c>
      <x:c r="E23" s="30" t="str">
        <x:v>llama.cpp Q4_K_M على RTX؛ يتطلب benchmark</x:v>
      </x:c>
    </x:row>
    <x:row r="24">
      <x:c r="A24" s="23" t="str">
        <x:v>إخراج replica: Qwen3.5-397B-A17B</x:v>
      </x:c>
      <x:c r="B24" s="28" t="n">
        <x:v>80</x:v>
      </x:c>
      <x:c r="C24" s="23" t="str">
        <x:v>token/s</x:v>
      </x:c>
      <x:c r="D24" s="23" t="str">
        <x:v>تقدير تخطيط</x:v>
      </x:c>
      <x:c r="E24" s="23" t="str">
        <x:v>replica على 2×B200؛ يتطلب benchmark</x:v>
      </x:c>
    </x:row>
    <x:row r="27" ht="28" customHeight="1">
      <x:c r="A27" s="13" t="str">
        <x:v>مدخلات السيناريوهات</x:v>
      </x:c>
      <x:c r="B27" s="13"/>
      <x:c r="C27" s="13"/>
      <x:c r="D27" s="13"/>
      <x:c r="E27" s="13"/>
    </x:row>
    <x:row r="28" ht="34" customHeight="1">
      <x:c r="A28" s="18" t="str">
        <x:v>البند</x:v>
      </x:c>
      <x:c r="B28" s="18" t="str">
        <x:v>2 مليون</x:v>
      </x:c>
      <x:c r="C28" s="18" t="str">
        <x:v>4 ملايين</x:v>
      </x:c>
      <x:c r="D28" s="18" t="str">
        <x:v>6 ملايين</x:v>
      </x:c>
      <x:c r="E28" s="18" t="str">
        <x:v>الوحدة/الملاحظة</x:v>
      </x:c>
    </x:row>
    <x:row r="29">
      <x:c r="A29" s="23" t="str">
        <x:v>الميزانية الإجمالية</x:v>
      </x:c>
      <x:c r="B29" s="35" t="n">
        <x:v>2000000</x:v>
      </x:c>
      <x:c r="C29" s="35" t="n">
        <x:v>4000000</x:v>
      </x:c>
      <x:c r="D29" s="35" t="n">
        <x:v>6000000</x:v>
      </x:c>
      <x:c r="E29" s="23" t="str">
        <x:v>SAR شامل VAT</x:v>
      </x:c>
    </x:row>
    <x:row r="30">
      <x:c r="A30" s="30" t="str">
        <x:v>عدد inference nodes</x:v>
      </x:c>
      <x:c r="B30" s="37" t="n">
        <x:v>2</x:v>
      </x:c>
      <x:c r="C30" s="37" t="n">
        <x:v>4</x:v>
      </x:c>
      <x:c r="D30" s="37" t="n">
        <x:v>3</x:v>
      </x:c>
      <x:c r="E30" s="30" t="str">
        <x:v>node</x:v>
      </x:c>
    </x:row>
    <x:row r="31">
      <x:c r="A31" s="23" t="str">
        <x:v>عنقود التطبيق/قاعدة البيانات</x:v>
      </x:c>
      <x:c r="B31" s="35" t="n">
        <x:v>135000</x:v>
      </x:c>
      <x:c r="C31" s="35" t="n">
        <x:v>180000</x:v>
      </x:c>
      <x:c r="D31" s="35" t="n">
        <x:v>220000</x:v>
      </x:c>
      <x:c r="E31" s="23" t="str">
        <x:v>SAR قبل VAT</x:v>
      </x:c>
    </x:row>
    <x:row r="32">
      <x:c r="A32" s="30" t="str">
        <x:v>التخزين والنسخ الاحتياطي</x:v>
      </x:c>
      <x:c r="B32" s="37" t="n">
        <x:v>80000</x:v>
      </x:c>
      <x:c r="C32" s="37" t="n">
        <x:v>150000</x:v>
      </x:c>
      <x:c r="D32" s="37" t="n">
        <x:v>180000</x:v>
      </x:c>
      <x:c r="E32" s="30" t="str">
        <x:v>SAR قبل VAT</x:v>
      </x:c>
    </x:row>
    <x:row r="33">
      <x:c r="A33" s="23" t="str">
        <x:v>الشبكة/موازنة الحمل/الكابلات</x:v>
      </x:c>
      <x:c r="B33" s="35" t="n">
        <x:v>90000</x:v>
      </x:c>
      <x:c r="C33" s="35" t="n">
        <x:v>200000</x:v>
      </x:c>
      <x:c r="D33" s="35" t="n">
        <x:v>250000</x:v>
      </x:c>
      <x:c r="E33" s="23" t="str">
        <x:v>SAR قبل VAT</x:v>
      </x:c>
    </x:row>
    <x:row r="34">
      <x:c r="A34" s="30" t="str">
        <x:v>rack/UPS/PDU ورفع التبريد</x:v>
      </x:c>
      <x:c r="B34" s="37" t="n">
        <x:v>150000</x:v>
      </x:c>
      <x:c r="C34" s="37" t="n">
        <x:v>350000</x:v>
      </x:c>
      <x:c r="D34" s="37" t="n">
        <x:v>450000</x:v>
      </x:c>
      <x:c r="E34" s="30" t="str">
        <x:v>SAR قبل VAT؛ ليس إنشاء غرفة جديدة</x:v>
      </x:c>
    </x:row>
    <x:row r="35">
      <x:c r="A35" s="23" t="str">
        <x:v>التكامل/الاحتياطي/الدعم الإضافي</x:v>
      </x:c>
      <x:c r="B35" s="35" t="n">
        <x:v>100000</x:v>
      </x:c>
      <x:c r="C35" s="35" t="n">
        <x:v>250000</x:v>
      </x:c>
      <x:c r="D35" s="35" t="n">
        <x:v>400000</x:v>
      </x:c>
      <x:c r="E35" s="23" t="str">
        <x:v>SAR قبل VAT</x:v>
      </x:c>
    </x:row>
    <x:row r="36">
      <x:c r="A36" s="30" t="str">
        <x:v>حمل IT المساند</x:v>
      </x:c>
      <x:c r="B36" s="38" t="n">
        <x:v>2</x:v>
      </x:c>
      <x:c r="C36" s="38" t="n">
        <x:v>3</x:v>
      </x:c>
      <x:c r="D36" s="38" t="n">
        <x:v>3</x:v>
      </x:c>
      <x:c r="E36" s="30" t="str">
        <x:v>kW</x:v>
      </x:c>
    </x:row>
    <x:row r="37">
      <x:c r="A37" s="23" t="str">
        <x:v>slots لكل replica رئيسية</x:v>
      </x:c>
      <x:c r="B37" s="36" t="n">
        <x:v>3</x:v>
      </x:c>
      <x:c r="C37" s="36" t="n">
        <x:v>2</x:v>
      </x:c>
      <x:c r="D37" s="36" t="n">
        <x:v>5</x:v>
      </x:c>
      <x:c r="E37" s="23" t="str">
        <x:v>جلسات توليد متزامنة؛ 6M للـ397B</x:v>
      </x:c>
    </x:row>
    <x:row r="38">
      <x:c r="A38" s="30" t="str">
        <x:v>GPU لكل replica</x:v>
      </x:c>
      <x:c r="B38" s="38" t="n">
        <x:v>1</x:v>
      </x:c>
      <x:c r="C38" s="38" t="n">
        <x:v>1</x:v>
      </x:c>
      <x:c r="D38" s="38" t="n">
        <x:v>2</x:v>
      </x:c>
      <x:c r="E38" s="30" t="str">
        <x:v>GPU</x:v>
      </x:c>
    </x:row>
    <x:row r="39">
      <x:c r="A39" s="23" t="str">
        <x:v>حجم ملف الموديل</x:v>
      </x:c>
      <x:c r="B39" s="36" t="n">
        <x:v>16.7</x:v>
      </x:c>
      <x:c r="C39" s="36" t="n">
        <x:v>76.5</x:v>
      </x:c>
      <x:c r="D39" s="36" t="n">
        <x:v>244</x:v>
      </x:c>
      <x:c r="E39" s="23" t="str">
        <x:v>GB؛ Q4_K_M</x:v>
      </x:c>
    </x:row>
    <x:row r="40">
      <x:c r="A40" s="30" t="str">
        <x:v>عدد RTX nodes</x:v>
      </x:c>
      <x:c r="B40" s="38" t="n">
        <x:v>2</x:v>
      </x:c>
      <x:c r="C40" s="38" t="n">
        <x:v>4</x:v>
      </x:c>
      <x:c r="D40" s="38" t="n">
        <x:v>1</x:v>
      </x:c>
      <x:c r="E40" s="30" t="str">
        <x:v>node؛ مسار 122B الروتيني في 6M</x:v>
      </x:c>
    </x:row>
    <x:row r="41">
      <x:c r="A41" s="23" t="str">
        <x:v>عدد B200 nodes</x:v>
      </x:c>
      <x:c r="B41" s="36" t="n">
        <x:v>0</x:v>
      </x:c>
      <x:c r="C41" s="36" t="n">
        <x:v>0</x:v>
      </x:c>
      <x:c r="D41" s="36" t="n">
        <x:v>2</x:v>
      </x:c>
      <x:c r="E41" s="23" t="str">
        <x:v>node؛ مسار 397B في 6M</x:v>
      </x:c>
    </x:row>
    <x:row r="42" ht="28" customHeight="1">
      <x:c r="A42" s="13" t="str">
        <x:v>المصادر المرجعية</x:v>
      </x:c>
      <x:c r="B42" s="13"/>
      <x:c r="C42" s="13"/>
      <x:c r="D42" s="13"/>
      <x:c r="E42" s="13"/>
      <x:c r="F42" s="13"/>
      <x:c r="G42" s="13"/>
      <x:c r="H42" s="13"/>
    </x:row>
    <x:row r="43" ht="34" customHeight="1">
      <x:c r="A43" s="18" t="str">
        <x:v>#</x:v>
      </x:c>
      <x:c r="B43" s="18" t="str">
        <x:v>المجال</x:v>
      </x:c>
      <x:c r="C43" s="18" t="str">
        <x:v>المصدر</x:v>
      </x:c>
      <x:c r="D43" s="18" t="str">
        <x:v>تاريخ الاطلاع</x:v>
      </x:c>
      <x:c r="E43" s="18" t="str">
        <x:v>الاستخدام</x:v>
      </x:c>
      <x:c r="F43" s="18" t="str">
        <x:v>درجة الاعتماد</x:v>
      </x:c>
      <x:c r="G43" s="18" t="str">
        <x:v>ملاحظة</x:v>
      </x:c>
      <x:c r="H43" s="18" t="str">
        <x:v>الرابط</x:v>
      </x:c>
    </x:row>
    <x:row r="44" ht="42" customHeight="1">
      <x:c r="A44" s="44" t="n">
        <x:v>1</x:v>
      </x:c>
      <x:c r="B44" s="42" t="str">
        <x:v>المنصة</x:v>
      </x:c>
      <x:c r="C44" s="42" t="str">
        <x:v>FastAPI agent service</x:v>
      </x:c>
      <x:c r="D44" s="42" t="str">
        <x:v>2026-07-13</x:v>
      </x:c>
      <x:c r="E44" s="42" t="str">
        <x:v>آخر 20 رسالة وسياق التشغيل</x:v>
      </x:c>
      <x:c r="F44" s="42" t="str">
        <x:v>كود محلي</x:v>
      </x:c>
      <x:c r="G44" s="42" t="str">
        <x:v>قراءة فقط</x:v>
      </x:c>
      <x:c r="H44" s="42" t="str">
        <x:v>C:/Users/windows-server/Desktop/work/Hermes/ai/AgentSaaS/app/services/agent_service.py</x:v>
      </x:c>
    </x:row>
    <x:row r="45" ht="42" customHeight="1">
      <x:c r="A45" s="45" t="n">
        <x:v>2</x:v>
      </x:c>
      <x:c r="B45" s="43" t="str">
        <x:v>المنصة</x:v>
      </x:c>
      <x:c r="C45" s="43" t="str">
        <x:v>WebSocket Cowork</x:v>
      </x:c>
      <x:c r="D45" s="43" t="str">
        <x:v>2026-07-13</x:v>
      </x:c>
      <x:c r="E45" s="43" t="str">
        <x:v>حتى 8 خطوات LLM</x:v>
      </x:c>
      <x:c r="F45" s="43" t="str">
        <x:v>كود محلي</x:v>
      </x:c>
      <x:c r="G45" s="43" t="str">
        <x:v>قراءة فقط</x:v>
      </x:c>
      <x:c r="H45" s="43" t="str">
        <x:v>C:/Users/windows-server/Desktop/work/Hermes/ai/AgentSaaS/app/api/websocket_chat.py</x:v>
      </x:c>
    </x:row>
    <x:row r="46" ht="42" customHeight="1">
      <x:c r="A46" s="44" t="n">
        <x:v>3</x:v>
      </x:c>
      <x:c r="B46" s="42" t="str">
        <x:v>المنصة</x:v>
      </x:c>
      <x:c r="C46" s="42" t="str">
        <x:v>Hermes local runtime</x:v>
      </x:c>
      <x:c r="D46" s="42" t="str">
        <x:v>2026-07-13</x:v>
      </x:c>
      <x:c r="E46" s="42" t="str">
        <x:v>واجهة OpenAI-compatible محلية</x:v>
      </x:c>
      <x:c r="F46" s="42" t="str">
        <x:v>كود محلي</x:v>
      </x:c>
      <x:c r="G46" s="42" t="str">
        <x:v>قراءة فقط</x:v>
      </x:c>
      <x:c r="H46" s="42" t="str">
        <x:v>C:/Users/windows-server/Desktop/work/Hermes/ai/AgentSaaS/app/local_hermes_runtime_app.py</x:v>
      </x:c>
    </x:row>
    <x:row r="47" ht="42" customHeight="1">
      <x:c r="A47" s="45" t="n">
        <x:v>4</x:v>
      </x:c>
      <x:c r="B47" s="43" t="str">
        <x:v>Qwen</x:v>
      </x:c>
      <x:c r="C47" s="43" t="str">
        <x:v>Qwen3.5-27B model card</x:v>
      </x:c>
      <x:c r="D47" s="43" t="str">
        <x:v>2026-07-13</x:v>
      </x:c>
      <x:c r="E47" s="43" t="str">
        <x:v>المواصفات والمعايير</x:v>
      </x:c>
      <x:c r="F47" s="43" t="str">
        <x:v>رسمي</x:v>
      </x:c>
      <x:c r="G47" s="43" t="str">
        <x:v>Qwen</x:v>
      </x:c>
      <x:c r="H47" s="43" t="str">
        <x:v>https://huggingface.co/Qwen/Qwen3.5-27B</x:v>
      </x:c>
    </x:row>
    <x:row r="48" ht="42" customHeight="1">
      <x:c r="A48" s="44" t="n">
        <x:v>5</x:v>
      </x:c>
      <x:c r="B48" s="42" t="str">
        <x:v>Qwen</x:v>
      </x:c>
      <x:c r="C48" s="42" t="str">
        <x:v>Qwen3.5-122B-A10B model card</x:v>
      </x:c>
      <x:c r="D48" s="42" t="str">
        <x:v>2026-07-13</x:v>
      </x:c>
      <x:c r="E48" s="42" t="str">
        <x:v>المواصفات والمعايير</x:v>
      </x:c>
      <x:c r="F48" s="42" t="str">
        <x:v>رسمي</x:v>
      </x:c>
      <x:c r="G48" s="42" t="str">
        <x:v>Qwen</x:v>
      </x:c>
      <x:c r="H48" s="42" t="str">
        <x:v>https://huggingface.co/Qwen/Qwen3.5-122B-A10B</x:v>
      </x:c>
    </x:row>
    <x:row r="49" ht="42" customHeight="1">
      <x:c r="A49" s="45" t="n">
        <x:v>6</x:v>
      </x:c>
      <x:c r="B49" s="43" t="str">
        <x:v>Qwen</x:v>
      </x:c>
      <x:c r="C49" s="43" t="str">
        <x:v>Qwen3.5-397B-A17B model card</x:v>
      </x:c>
      <x:c r="D49" s="43" t="str">
        <x:v>2026-07-13</x:v>
      </x:c>
      <x:c r="E49" s="43" t="str">
        <x:v>المواصفات والمعايير</x:v>
      </x:c>
      <x:c r="F49" s="43" t="str">
        <x:v>رسمي</x:v>
      </x:c>
      <x:c r="G49" s="43" t="str">
        <x:v>Qwen</x:v>
      </x:c>
      <x:c r="H49" s="43" t="str">
        <x:v>https://huggingface.co/Qwen/Qwen3.5-397B-A17B</x:v>
      </x:c>
    </x:row>
    <x:row r="50" ht="42" customHeight="1">
      <x:c r="A50" s="44" t="n">
        <x:v>7</x:v>
      </x:c>
      <x:c r="B50" s="42" t="str">
        <x:v>GGUF</x:v>
      </x:c>
      <x:c r="C50" s="42" t="str">
        <x:v>Qwen3.5-27B GGUF</x:v>
      </x:c>
      <x:c r="D50" s="42" t="str">
        <x:v>2026-07-13</x:v>
      </x:c>
      <x:c r="E50" s="42" t="str">
        <x:v>حجم Q4_K_M</x:v>
      </x:c>
      <x:c r="F50" s="42" t="str">
        <x:v>مجتمع موثوق</x:v>
      </x:c>
      <x:c r="G50" s="42" t="str">
        <x:v>Unsloth</x:v>
      </x:c>
      <x:c r="H50" s="42" t="str">
        <x:v>https://huggingface.co/unsloth/Qwen3.5-27B-GGUF/tree/main</x:v>
      </x:c>
    </x:row>
    <x:row r="51" ht="42" customHeight="1">
      <x:c r="A51" s="45" t="n">
        <x:v>8</x:v>
      </x:c>
      <x:c r="B51" s="43" t="str">
        <x:v>GGUF</x:v>
      </x:c>
      <x:c r="C51" s="43" t="str">
        <x:v>Qwen3.5-122B GGUF</x:v>
      </x:c>
      <x:c r="D51" s="43" t="str">
        <x:v>2026-07-13</x:v>
      </x:c>
      <x:c r="E51" s="43" t="str">
        <x:v>حجم Q4_K_M</x:v>
      </x:c>
      <x:c r="F51" s="43" t="str">
        <x:v>مجتمع موثوق</x:v>
      </x:c>
      <x:c r="G51" s="43" t="str">
        <x:v>Unsloth</x:v>
      </x:c>
      <x:c r="H51" s="43" t="str">
        <x:v>https://huggingface.co/unsloth/Qwen3.5-122B-A10B-GGUF</x:v>
      </x:c>
    </x:row>
    <x:row r="52" ht="42" customHeight="1">
      <x:c r="A52" s="44" t="n">
        <x:v>9</x:v>
      </x:c>
      <x:c r="B52" s="42" t="str">
        <x:v>GGUF</x:v>
      </x:c>
      <x:c r="C52" s="42" t="str">
        <x:v>Qwen3.5-397B GGUF</x:v>
      </x:c>
      <x:c r="D52" s="42" t="str">
        <x:v>2026-07-13</x:v>
      </x:c>
      <x:c r="E52" s="42" t="str">
        <x:v>حجم Q4_K_M</x:v>
      </x:c>
      <x:c r="F52" s="42" t="str">
        <x:v>مجتمع موثوق</x:v>
      </x:c>
      <x:c r="G52" s="42" t="str">
        <x:v>Unsloth</x:v>
      </x:c>
      <x:c r="H52" s="42" t="str">
        <x:v>https://huggingface.co/unsloth/Qwen3.5-397B-A17B-GGUF/tree/main/Q4_K_M</x:v>
      </x:c>
    </x:row>
    <x:row r="53" ht="42" customHeight="1">
      <x:c r="A53" s="45" t="n">
        <x:v>10</x:v>
      </x:c>
      <x:c r="B53" s="43" t="str">
        <x:v>Runtime</x:v>
      </x:c>
      <x:c r="C53" s="43" t="str">
        <x:v>llama.cpp</x:v>
      </x:c>
      <x:c r="D53" s="43" t="str">
        <x:v>2026-07-13</x:v>
      </x:c>
      <x:c r="E53" s="43" t="str">
        <x:v>GGUF وllama-server وCUDA</x:v>
      </x:c>
      <x:c r="F53" s="43" t="str">
        <x:v>رسمي</x:v>
      </x:c>
      <x:c r="G53" s="43" t="str">
        <x:v>OpenAI-compatible server</x:v>
      </x:c>
      <x:c r="H53" s="43" t="str">
        <x:v>https://github.com/ggml-org/llama.cpp</x:v>
      </x:c>
    </x:row>
    <x:row r="54" ht="42" customHeight="1">
      <x:c r="A54" s="44" t="n">
        <x:v>11</x:v>
      </x:c>
      <x:c r="B54" s="42" t="str">
        <x:v>بديل</x:v>
      </x:c>
      <x:c r="C54" s="42" t="str">
        <x:v>gpt-oss-120b</x:v>
      </x:c>
      <x:c r="D54" s="42" t="str">
        <x:v>2026-07-13</x:v>
      </x:c>
      <x:c r="E54" s="42" t="str">
        <x:v>موديل نصي محلي 128K</x:v>
      </x:c>
      <x:c r="F54" s="42" t="str">
        <x:v>رسمي</x:v>
      </x:c>
      <x:c r="G54" s="42" t="str">
        <x:v>OpenAI</x:v>
      </x:c>
      <x:c r="H54" s="42" t="str">
        <x:v>https://huggingface.co/openai/gpt-oss-120b</x:v>
      </x:c>
    </x:row>
    <x:row r="55" ht="42" customHeight="1">
      <x:c r="A55" s="45" t="n">
        <x:v>12</x:v>
      </x:c>
      <x:c r="B55" s="43" t="str">
        <x:v>Runtime</x:v>
      </x:c>
      <x:c r="C55" s="43" t="str">
        <x:v>llama.cpp MXFP4 guide</x:v>
      </x:c>
      <x:c r="D55" s="43" t="str">
        <x:v>2026-07-13</x:v>
      </x:c>
      <x:c r="E55" s="43" t="str">
        <x:v>ذاكرة gpt-oss</x:v>
      </x:c>
      <x:c r="F55" s="43" t="str">
        <x:v>رسمي</x:v>
      </x:c>
      <x:c r="G55" s="43" t="str">
        <x:v>llama.cpp</x:v>
      </x:c>
      <x:c r="H55" s="43" t="str">
        <x:v>https://github.com/ggml-org/llama.cpp/discussions/15396</x:v>
      </x:c>
    </x:row>
    <x:row r="56" ht="42" customHeight="1">
      <x:c r="A56" s="44" t="n">
        <x:v>13</x:v>
      </x:c>
      <x:c r="B56" s="42" t="str">
        <x:v>بديل</x:v>
      </x:c>
      <x:c r="C56" s="42" t="str">
        <x:v>DeepSeek-V3.2</x:v>
      </x:c>
      <x:c r="D56" s="42" t="str">
        <x:v>2026-07-13</x:v>
      </x:c>
      <x:c r="E56" s="42" t="str">
        <x:v>موديل agentic محلي كبير</x:v>
      </x:c>
      <x:c r="F56" s="42" t="str">
        <x:v>رسمي</x:v>
      </x:c>
      <x:c r="G56" s="42" t="str">
        <x:v>DeepSeek</x:v>
      </x:c>
      <x:c r="H56" s="42" t="str">
        <x:v>https://huggingface.co/deepseek-ai/DeepSeek-V3.2</x:v>
      </x:c>
    </x:row>
    <x:row r="57" ht="42" customHeight="1">
      <x:c r="A57" s="45" t="n">
        <x:v>14</x:v>
      </x:c>
      <x:c r="B57" s="43" t="str">
        <x:v>بديل</x:v>
      </x:c>
      <x:c r="C57" s="43" t="str">
        <x:v>Kimi-K2.7-Code</x:v>
      </x:c>
      <x:c r="D57" s="43" t="str">
        <x:v>2026-07-13</x:v>
      </x:c>
      <x:c r="E57" s="43" t="str">
        <x:v>موديل coding agent حديث</x:v>
      </x:c>
      <x:c r="F57" s="43" t="str">
        <x:v>رسمي</x:v>
      </x:c>
      <x:c r="G57" s="43" t="str">
        <x:v>Moonshot AI</x:v>
      </x:c>
      <x:c r="H57" s="43" t="str">
        <x:v>https://huggingface.co/moonshotai/Kimi-K2.7-Code</x:v>
      </x:c>
    </x:row>
    <x:row r="58" ht="42" customHeight="1">
      <x:c r="A58" s="44" t="n">
        <x:v>15</x:v>
      </x:c>
      <x:c r="B58" s="42" t="str">
        <x:v>GPU</x:v>
      </x:c>
      <x:c r="C58" s="42" t="str">
        <x:v>RTX PRO 6000 Server Edition</x:v>
      </x:c>
      <x:c r="D58" s="42" t="str">
        <x:v>2026-07-13</x:v>
      </x:c>
      <x:c r="E58" s="42" t="str">
        <x:v>96GB و600W</x:v>
      </x:c>
      <x:c r="F58" s="42" t="str">
        <x:v>رسمي</x:v>
      </x:c>
      <x:c r="G58" s="42" t="str">
        <x:v>NVIDIA</x:v>
      </x:c>
      <x:c r="H58" s="42" t="str">
        <x:v>https://www.nvidia.com/en-us/data-center/rtx-pro-6000-blackwell-server-edition/</x:v>
      </x:c>
    </x:row>
    <x:row r="59" ht="42" customHeight="1">
      <x:c r="A59" s="45" t="n">
        <x:v>16</x:v>
      </x:c>
      <x:c r="B59" s="43" t="str">
        <x:v>سعر</x:v>
      </x:c>
      <x:c r="C59" s="43" t="str">
        <x:v>HPE RTX PRO server estimate</x:v>
      </x:c>
      <x:c r="D59" s="43" t="str">
        <x:v>2026-07-13</x:v>
      </x:c>
      <x:c r="E59" s="43" t="str">
        <x:v>$150K لكل 8-GPU node</x:v>
      </x:c>
      <x:c r="F59" s="43" t="str">
        <x:v>مصنع</x:v>
      </x:c>
      <x:c r="G59" s="43" t="str">
        <x:v>عرض HPE مرجعي</x:v>
      </x:c>
      <x:c r="H59" s="43" t="str">
        <x:v>https://www.hpe.com/h40132/filelib/ch/fr/638948378807648599_fadc5890923f596f219c8474b2d0433e.pdf</x:v>
      </x:c>
    </x:row>
    <x:row r="60" ht="42" customHeight="1">
      <x:c r="A60" s="44" t="n">
        <x:v>17</x:v>
      </x:c>
      <x:c r="B60" s="42" t="str">
        <x:v>GPU</x:v>
      </x:c>
      <x:c r="C60" s="42" t="str">
        <x:v>DGX B200 specifications</x:v>
      </x:c>
      <x:c r="D60" s="42" t="str">
        <x:v>2026-07-13</x:v>
      </x:c>
      <x:c r="E60" s="42" t="str">
        <x:v>8×B200 و14.3kW</x:v>
      </x:c>
      <x:c r="F60" s="42" t="str">
        <x:v>رسمي</x:v>
      </x:c>
      <x:c r="G60" s="42" t="str">
        <x:v>NVIDIA</x:v>
      </x:c>
      <x:c r="H60" s="42" t="str">
        <x:v>https://docs.nvidia.com/dgx/dgxb200-user-guide/introduction-to-dgxb200.html</x:v>
      </x:c>
    </x:row>
    <x:row r="61" ht="42" customHeight="1">
      <x:c r="A61" s="45" t="n">
        <x:v>18</x:v>
      </x:c>
      <x:c r="B61" s="43" t="str">
        <x:v>سعر</x:v>
      </x:c>
      <x:c r="C61" s="43" t="str">
        <x:v>8×B200 standard system</x:v>
      </x:c>
      <x:c r="D61" s="43" t="str">
        <x:v>2026-07-13</x:v>
      </x:c>
      <x:c r="E61" s="43" t="str">
        <x:v>$381,251.25</x:v>
      </x:c>
      <x:c r="F61" s="43" t="str">
        <x:v>تسعير منشور</x:v>
      </x:c>
      <x:c r="G61" s="43" t="str">
        <x:v>يتحقق محلياً</x:v>
      </x:c>
      <x:c r="H61" s="43" t="str">
        <x:v>https://www.gsaadvantage.gov/ref_text/47QTCA25D00CL/10JE5R.3W9R0F_47QTCA25D00CL_MASGSAPRICELISTSECURISEA07132025.PDF</x:v>
      </x:c>
    </x:row>
    <x:row r="62" ht="42" customHeight="1">
      <x:c r="A62" s="44" t="n">
        <x:v>19</x:v>
      </x:c>
      <x:c r="B62" s="42" t="str">
        <x:v>عملة</x:v>
      </x:c>
      <x:c r="C62" s="42" t="str">
        <x:v>سعر صرف SAMA</x:v>
      </x:c>
      <x:c r="D62" s="42" t="str">
        <x:v>2026-07-13</x:v>
      </x:c>
      <x:c r="E62" s="42" t="str">
        <x:v>USD = 3.75 SAR</x:v>
      </x:c>
      <x:c r="F62" s="42" t="str">
        <x:v>رسمي</x:v>
      </x:c>
      <x:c r="G62" s="42" t="str">
        <x:v>SAMA</x:v>
      </x:c>
      <x:c r="H62" s="42" t="str">
        <x:v>https://www.sama.gov.sa/en-US/Currency/FinExc/pages/currency.aspx</x:v>
      </x:c>
    </x:row>
    <x:row r="63" ht="42" customHeight="1">
      <x:c r="A63" s="45" t="n">
        <x:v>20</x:v>
      </x:c>
      <x:c r="B63" s="43" t="str">
        <x:v>ضريبة</x:v>
      </x:c>
      <x:c r="C63" s="43" t="str">
        <x:v>VAT السعودية</x:v>
      </x:c>
      <x:c r="D63" s="43" t="str">
        <x:v>2026-07-13</x:v>
      </x:c>
      <x:c r="E63" s="43" t="str">
        <x:v>15%</x:v>
      </x:c>
      <x:c r="F63" s="43" t="str">
        <x:v>رسمي</x:v>
      </x:c>
      <x:c r="G63" s="43" t="str">
        <x:v>ZATCA</x:v>
      </x:c>
      <x:c r="H63" s="43" t="str">
        <x:v>https://zatca.gov.sa/ar/rulesregulations/vat/pages/about-vat.aspx</x:v>
      </x:c>
    </x:row>
    <x:row r="66">
      <x:c r="A66" s="50" t="str">
        <x:v>تنبيه منهجي: أرقام throughput تقديرات سعة أولية وليست benchmark مقاساً على نفس العتاد. قبل الشراء يجب تشغيل llama-bench واختبار حمل 35 جلسة بقوالب المنصة الفعلية، مع اختبار الصور والأدوات والسياق 32K/128K. يفترض النموذج مركز بيانات قائماً؛ إنشاء غرفة/مولد/تبريد جديد قد يضيف تقريباً 20–35% خارج هذه الميزانيات.</x:v>
      </x:c>
      <x:c r="B66" s="50"/>
      <x:c r="C66" s="50"/>
      <x:c r="D66" s="50"/>
      <x:c r="E66" s="50"/>
      <x:c r="F66" s="50"/>
      <x:c r="G66" s="50"/>
      <x:c r="H66" s="50"/>
    </x:row>
    <x:row r="67">
      <x:c r="A67" s="50"/>
      <x:c r="B67" s="50"/>
      <x:c r="C67" s="50"/>
      <x:c r="D67" s="50"/>
      <x:c r="E67" s="50"/>
      <x:c r="F67" s="50"/>
      <x:c r="G67" s="50"/>
      <x:c r="H67" s="50"/>
    </x:row>
    <x:row r="68">
      <x:c r="A68" s="50"/>
      <x:c r="B68" s="50"/>
      <x:c r="C68" s="50"/>
      <x:c r="D68" s="50"/>
      <x:c r="E68" s="50"/>
      <x:c r="F68" s="50"/>
      <x:c r="G68" s="50"/>
      <x:c r="H68" s="50"/>
    </x:row>
  </x:sheetData>
  <x:mergeCells>
    <x:mergeCell ref="A1:H1"/>
    <x:mergeCell ref="A2:H2"/>
    <x:mergeCell ref="A4:E4"/>
    <x:mergeCell ref="A27:E27"/>
    <x:mergeCell ref="A42:H42"/>
    <x:mergeCell ref="A66:H6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24" hidden="0" customWidth="1"/>
    <x:col min="3" max="3" width="16" hidden="0" customWidth="1"/>
    <x:col min="4" max="4" width="40" hidden="0" customWidth="1"/>
  </x:cols>
  <x:sheetData>
    <x:row r="1" ht="38" customHeight="1">
      <x:c r="A1" s="4" t="str">
        <x:v>فحوصات النموذج</x:v>
      </x:c>
      <x:c r="B1" s="4"/>
      <x:c r="C1" s="4"/>
      <x:c r="D1" s="4"/>
    </x:row>
    <x:row r="2" ht="32" customHeight="1">
      <x:c r="A2" s="9" t="str">
        <x:v>يجب أن تكون جميع النتائج PASS قبل التسليم. هذه الفحوصات تربط التكلفة والسعة والذاكرة بالمخرجات الرئيسية.</x:v>
      </x:c>
      <x:c r="B2" s="9"/>
      <x:c r="C2" s="9"/>
      <x:c r="D2" s="9"/>
    </x:row>
    <x:row r="4" ht="34" customHeight="1">
      <x:c r="A4" s="18" t="str">
        <x:v>الفحص</x:v>
      </x:c>
      <x:c r="B4" s="18" t="str">
        <x:v>المعادلة/القيمة</x:v>
      </x:c>
      <x:c r="C4" s="18" t="str">
        <x:v>الحالة</x:v>
      </x:c>
      <x:c r="D4" s="18" t="str">
        <x:v>التفسير</x:v>
      </x:c>
    </x:row>
    <x:row r="5">
      <x:c r="A5" s="23" t="str">
        <x:v>مطابقة ميزانية 2M</x:v>
      </x:c>
      <x:c r="B5" s="130" t="n">
        <x:f>'التكلفة'!B16</x:f>
        <x:v>2.3283064365386963e-10</x:v>
      </x:c>
      <x:c r="C5" s="132" t="str">
        <x:f>IF(ABS(B5)&lt;1,"PASS","FAIL")</x:f>
        <x:v>PASS</x:v>
      </x:c>
      <x:c r="D5" s="23" t="str">
        <x:v>الفرق بين المخرجات والميزانية</x:v>
      </x:c>
    </x:row>
    <x:row r="6">
      <x:c r="A6" s="30" t="str">
        <x:v>مطابقة ميزانية 4M</x:v>
      </x:c>
      <x:c r="B6" s="131" t="n">
        <x:f>'التكلفة'!C16</x:f>
        <x:v>4.656612873077393e-10</x:v>
      </x:c>
      <x:c r="C6" s="132" t="str">
        <x:f>IF(ABS(B6)&lt;1,"PASS","FAIL")</x:f>
        <x:v>PASS</x:v>
      </x:c>
      <x:c r="D6" s="30" t="str">
        <x:v>الفرق بين المخرجات والميزانية</x:v>
      </x:c>
    </x:row>
    <x:row r="7">
      <x:c r="A7" s="23" t="str">
        <x:v>مطابقة ميزانية 6M</x:v>
      </x:c>
      <x:c r="B7" s="130" t="n">
        <x:f>'التكلفة'!D16</x:f>
        <x:v>0</x:v>
      </x:c>
      <x:c r="C7" s="132" t="str">
        <x:f>IF(ABS(B7)&lt;1,"PASS","FAIL")</x:f>
        <x:v>PASS</x:v>
      </x:c>
      <x:c r="D7" s="23" t="str">
        <x:v>الفرق بين المخرجات والميزانية</x:v>
      </x:c>
    </x:row>
    <x:row r="8">
      <x:c r="A8" s="30" t="str">
        <x:v>slots تكفي 35 — 2M</x:v>
      </x:c>
      <x:c r="B8" s="131" t="n">
        <x:f>'المقارنة'!K5</x:f>
        <x:v>48</x:v>
      </x:c>
      <x:c r="C8" s="132" t="str">
        <x:f>IF(B8&gt;='الافتراضات والمصادر'!$B$6,"PASS","FAIL")</x:f>
        <x:v>PASS</x:v>
      </x:c>
      <x:c r="D8" s="30" t="str">
        <x:v>الحد الأدنى 35 slot</x:v>
      </x:c>
    </x:row>
    <x:row r="9">
      <x:c r="A9" s="23" t="str">
        <x:v>slots تكفي 35 — 4M</x:v>
      </x:c>
      <x:c r="B9" s="130" t="n">
        <x:f>'المقارنة'!K6</x:f>
        <x:v>64</x:v>
      </x:c>
      <x:c r="C9" s="132" t="str">
        <x:f>IF(B9&gt;='الافتراضات والمصادر'!$B$6,"PASS","FAIL")</x:f>
        <x:v>PASS</x:v>
      </x:c>
      <x:c r="D9" s="23" t="str">
        <x:v>الحد الأدنى 35 slot</x:v>
      </x:c>
    </x:row>
    <x:row r="10">
      <x:c r="A10" s="30" t="str">
        <x:v>slots تكفي 35 — 6M</x:v>
      </x:c>
      <x:c r="B10" s="131" t="n">
        <x:f>'المقارنة'!K7</x:f>
        <x:v>40</x:v>
      </x:c>
      <x:c r="C10" s="132" t="str">
        <x:f>IF(B10&gt;='الافتراضات والمصادر'!$B$6,"PASS","FAIL")</x:f>
        <x:v>PASS</x:v>
      </x:c>
      <x:c r="D10" s="30" t="str">
        <x:v>الحد الأدنى 35 slot</x:v>
      </x:c>
    </x:row>
    <x:row r="11">
      <x:c r="A11" s="23" t="str">
        <x:v>الموديل + headroom يطابق VRAM/replica — 2M</x:v>
      </x:c>
      <x:c r="B11" s="130" t="n">
        <x:f>'الافتراضات والمصادر'!$B$18*'المقارنة'!H5-'المقارنة'!G5</x:f>
        <x:v>79.3</x:v>
      </x:c>
      <x:c r="C11" s="132" t="str">
        <x:f>IF(B11&gt;=10,"PASS","FAIL")</x:f>
        <x:v>PASS</x:v>
      </x:c>
      <x:c r="D11" s="23" t="str">
        <x:v>هامش 10GB على الأقل فوق ملف GGUF</x:v>
      </x:c>
    </x:row>
    <x:row r="12">
      <x:c r="A12" s="30" t="str">
        <x:v>الموديل + headroom يطابق VRAM/replica — 4M</x:v>
      </x:c>
      <x:c r="B12" s="131" t="n">
        <x:f>'الافتراضات والمصادر'!$B$18*'المقارنة'!H6-'المقارنة'!G6</x:f>
        <x:v>19.5</x:v>
      </x:c>
      <x:c r="C12" s="132" t="str">
        <x:f>IF(B12&gt;=10,"PASS","FAIL")</x:f>
        <x:v>PASS</x:v>
      </x:c>
      <x:c r="D12" s="30" t="str">
        <x:v>هامش 10GB على الأقل فوق ملف GGUF</x:v>
      </x:c>
    </x:row>
    <x:row r="13">
      <x:c r="A13" s="23" t="str">
        <x:v>الموديل + headroom يطابق VRAM/replica — 6M</x:v>
      </x:c>
      <x:c r="B13" s="130" t="n">
        <x:f>'الافتراضات والمصادر'!$B$19*'المقارنة'!H7-'المقارنة'!G7</x:f>
        <x:v>116</x:v>
      </x:c>
      <x:c r="C13" s="132" t="str">
        <x:f>IF(B13&gt;=10,"PASS","FAIL")</x:f>
        <x:v>PASS</x:v>
      </x:c>
      <x:c r="D13" s="23" t="str">
        <x:v>هامش 10GB على الأقل فوق ملف GGUF</x:v>
      </x:c>
    </x:row>
    <x:row r="14">
      <x:c r="A14" s="30" t="str">
        <x:v>الاحتياطي غير سالب — 2M</x:v>
      </x:c>
      <x:c r="B14" s="131" t="n">
        <x:f>'التكلفة'!B11</x:f>
        <x:v>59130.43478260888</x:v>
      </x:c>
      <x:c r="C14" s="132" t="str">
        <x:f>IF(B14&gt;=0,"PASS","FAIL")</x:f>
        <x:v>PASS</x:v>
      </x:c>
      <x:c r="D14" s="30" t="str">
        <x:v>احتياطي المناقصة ≥ 0</x:v>
      </x:c>
    </x:row>
    <x:row r="15">
      <x:c r="A15" s="23" t="str">
        <x:v>الاحتياطي غير سالب — 4M</x:v>
      </x:c>
      <x:c r="B15" s="130" t="n">
        <x:f>'التكلفة'!C11</x:f>
        <x:v>98260.86956521776</x:v>
      </x:c>
      <x:c r="C15" s="132" t="str">
        <x:f>IF(B15&gt;=0,"PASS","FAIL")</x:f>
        <x:v>PASS</x:v>
      </x:c>
      <x:c r="D15" s="23" t="str">
        <x:v>احتياطي المناقصة ≥ 0</x:v>
      </x:c>
    </x:row>
    <x:row r="16">
      <x:c r="A16" s="30" t="str">
        <x:v>الاحتياطي غير سالب — 6M</x:v>
      </x:c>
      <x:c r="B16" s="131" t="n">
        <x:f>'التكلفة'!D11</x:f>
        <x:v>295506.92934782617</x:v>
      </x:c>
      <x:c r="C16" s="132" t="str">
        <x:f>IF(B16&gt;=0,"PASS","FAIL")</x:f>
        <x:v>PASS</x:v>
      </x:c>
      <x:c r="D16" s="30" t="str">
        <x:v>احتياطي المناقصة ≥ 0</x:v>
      </x:c>
    </x:row>
    <x:row r="19">
      <x:c r="A19" s="135" t="str">
        <x:v>الحالة الإجمالية</x:v>
      </x:c>
      <x:c r="B19" s="135" t="str"/>
      <x:c r="C19" s="135" t="str">
        <x:f>IF(COUNTIF(C5:C16,"FAIL")=0,"PASS","FAIL")</x:f>
        <x:v>PASS</x:v>
      </x:c>
      <x:c r="D19" s="135"/>
    </x:row>
  </x:sheetData>
  <x:mergeCells>
    <x:mergeCell ref="A1:D1"/>
    <x:mergeCell ref="A2:D2"/>
  </x:mergeCells>
  <x:pageMargins left="0.7" right="0.7" top="0.75" bottom="0.75" header="0.3" footer="0.3"/>
</x:worksheet>
</file>